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c5b62e5c0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9ce5b04a2f4b4415"/>
    <x:sheet xmlns:r="http://schemas.openxmlformats.org/officeDocument/2006/relationships" name="Todos os Leads" sheetId="2" r:id="Rf6a8bb2c24924a7e"/>
    <x:sheet xmlns:r="http://schemas.openxmlformats.org/officeDocument/2006/relationships" name="Santo André - ABC" sheetId="3" r:id="R7abb55d4471c4316"/>
    <x:sheet xmlns:r="http://schemas.openxmlformats.org/officeDocument/2006/relationships" name="Brasil" sheetId="4" r:id="Rb2953106de5a452d"/>
    <x:sheet xmlns:r="http://schemas.openxmlformats.org/officeDocument/2006/relationships" name="Critérios e Uso" sheetId="5" r:id="Reb5a471f873f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6B625D"/>
      <x:name val="Carlito"/>
    </x:font>
    <x:font>
      <x:b/>
      <x:sz val="10"/>
      <x:color rgb="FFFFFFFF"/>
      <x:name val="Carlito"/>
    </x:font>
    <x:font>
      <x:sz val="9"/>
      <x:color rgb="FF2F2420"/>
      <x:name val="Carlito"/>
    </x:font>
    <x:font>
      <x:b/>
      <x:sz val="19"/>
      <x:color rgb="FFFFFFFF"/>
      <x:name val="Carlito"/>
    </x:font>
    <x:font>
      <x:b/>
      <x:sz val="20"/>
      <x:color rgb="FF2F2420"/>
      <x:name val="Carlito"/>
    </x:font>
    <x:font>
      <x:b/>
      <x:sz val="11"/>
      <x:color rgb="FFFFFFFF"/>
      <x:name val="Carlito"/>
    </x:font>
    <x:font>
      <x:sz val="11"/>
      <x:color rgb="FF2F2420"/>
      <x:name val="Carlito"/>
    </x:font>
    <x:font>
      <x:sz val="10"/>
      <x:color rgb="FF2F242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2420"/>
      </x:patternFill>
    </x:fill>
    <x:fill>
      <x:patternFill patternType="solid">
        <x:fgColor rgb="FFF7F1EA"/>
      </x:patternFill>
    </x:fill>
    <x:fill>
      <x:patternFill patternType="solid">
        <x:fgColor rgb="FFA65F4B"/>
      </x:patternFill>
    </x:fill>
    <x:fill>
      <x:patternFill patternType="solid">
        <x:fgColor rgb="FFFBF8F4"/>
      </x:patternFill>
    </x:fill>
    <x:fill>
      <x:patternFill patternType="solid">
        <x:fgColor rgb="FF62705E"/>
      </x:patternFill>
    </x:fill>
    <x:fill>
      <x:patternFill patternType="solid">
        <x:fgColor rgb="FFC69A5B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1" fontId="4" fillId="5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4">
    <x:dxf>
      <x:font>
        <x:b/>
        <x:color rgb="FF31452D"/>
      </x:font>
      <x:fill>
        <x:patternFill patternType="solid">
          <x:bgColor rgb="FFD8E5D2"/>
        </x:patternFill>
      </x:fill>
    </x:dxf>
    <x:dxf>
      <x:font>
        <x:b/>
        <x:color rgb="FF6B531D"/>
      </x:font>
      <x:fill>
        <x:patternFill patternType="solid">
          <x:bgColor rgb="FFF4E5B7"/>
        </x:patternFill>
      </x:fill>
    </x:dxf>
    <x:dxf>
      <x:font>
        <x:color rgb="FF2F2420"/>
      </x:font>
      <x:fill>
        <x:patternFill patternType="solid">
          <x:bgColor rgb="FFE8E2DC"/>
        </x:patternFill>
      </x:fill>
    </x:dxf>
    <x:dxf>
      <x:font>
        <x:color rgb="FF7C302A"/>
      </x:font>
      <x:fill>
        <x:patternFill patternType="solid">
          <x:bgColor rgb="FFF3D7D3"/>
        </x:patternFill>
      </x:fill>
    </x:dxf>
    <x:dxf>
      <x:font>
        <x:b/>
        <x:color rgb="FF31452D"/>
      </x:font>
      <x:fill>
        <x:patternFill patternType="solid">
          <x:bgColor rgb="FFD8E5D2"/>
        </x:patternFill>
      </x:fill>
    </x:dxf>
    <x:dxf>
      <x:font>
        <x:b/>
      </x:font>
      <x:fill>
        <x:patternFill patternType="solid">
          <x:bgColor rgb="FFF4E5B7"/>
        </x:patternFill>
      </x:fill>
    </x:dxf>
    <x:dxf>
      <x:font>
        <x:color rgb="FF7C302A"/>
      </x:font>
      <x:fill>
        <x:patternFill patternType="solid">
          <x:bgColor rgb="FFF3D7D3"/>
        </x:patternFill>
      </x:fill>
    </x:dxf>
    <x:dxf>
      <x:font>
        <x:b/>
        <x:color rgb="FF7C302A"/>
      </x:font>
      <x:fill>
        <x:patternFill patternType="solid">
          <x:bgColor rgb="FFF3D7D3"/>
        </x:patternFill>
      </x:fill>
    </x:dxf>
    <x:dxf>
      <x:font>
        <x:b/>
        <x:color rgb="FF31452D"/>
      </x:font>
      <x:fill>
        <x:patternFill patternType="solid">
          <x:bgColor rgb="FFD8E5D2"/>
        </x:patternFill>
      </x:fill>
    </x:dxf>
    <x:dxf>
      <x:font>
        <x:b/>
        <x:color rgb="FF6B531D"/>
      </x:font>
      <x:fill>
        <x:patternFill patternType="solid">
          <x:bgColor rgb="FFF4E5B7"/>
        </x:patternFill>
      </x:fill>
    </x:dxf>
    <x:dxf>
      <x:font>
        <x:color rgb="FF2F2420"/>
      </x:font>
      <x:fill>
        <x:patternFill patternType="solid">
          <x:bgColor rgb="FFE8E2DC"/>
        </x:patternFill>
      </x:fill>
    </x:dxf>
    <x:dxf>
      <x:font>
        <x:color rgb="FF7C302A"/>
      </x:font>
      <x:fill>
        <x:patternFill patternType="solid">
          <x:bgColor rgb="FFF3D7D3"/>
        </x:patternFill>
      </x:fill>
    </x:dxf>
    <x:dxf>
      <x:font>
        <x:b/>
        <x:color rgb="FF31452D"/>
      </x:font>
      <x:fill>
        <x:patternFill patternType="solid">
          <x:bgColor rgb="FFD8E5D2"/>
        </x:patternFill>
      </x:fill>
    </x:dxf>
    <x:dxf>
      <x:font>
        <x:b/>
      </x:font>
      <x:fill>
        <x:patternFill patternType="solid">
          <x:bgColor rgb="FFF4E5B7"/>
        </x:patternFill>
      </x:fill>
    </x:dxf>
    <x:dxf>
      <x:font>
        <x:color rgb="FF7C302A"/>
      </x:font>
      <x:fill>
        <x:patternFill patternType="solid">
          <x:bgColor rgb="FFF3D7D3"/>
        </x:patternFill>
      </x:fill>
    </x:dxf>
    <x:dxf>
      <x:font>
        <x:b/>
        <x:color rgb="FF7C302A"/>
      </x:font>
      <x:fill>
        <x:patternFill patternType="solid">
          <x:bgColor rgb="FFF3D7D3"/>
        </x:patternFill>
      </x:fill>
    </x:dxf>
    <x:dxf>
      <x:font>
        <x:b/>
        <x:color rgb="FF31452D"/>
      </x:font>
      <x:fill>
        <x:patternFill patternType="solid">
          <x:bgColor rgb="FFD8E5D2"/>
        </x:patternFill>
      </x:fill>
    </x:dxf>
    <x:dxf>
      <x:font>
        <x:b/>
        <x:color rgb="FF6B531D"/>
      </x:font>
      <x:fill>
        <x:patternFill patternType="solid">
          <x:bgColor rgb="FFF4E5B7"/>
        </x:patternFill>
      </x:fill>
    </x:dxf>
    <x:dxf>
      <x:font>
        <x:color rgb="FF2F2420"/>
      </x:font>
      <x:fill>
        <x:patternFill patternType="solid">
          <x:bgColor rgb="FFE8E2DC"/>
        </x:patternFill>
      </x:fill>
    </x:dxf>
    <x:dxf>
      <x:font>
        <x:color rgb="FF7C302A"/>
      </x:font>
      <x:fill>
        <x:patternFill patternType="solid">
          <x:bgColor rgb="FFF3D7D3"/>
        </x:patternFill>
      </x:fill>
    </x:dxf>
    <x:dxf>
      <x:font>
        <x:b/>
        <x:color rgb="FF31452D"/>
      </x:font>
      <x:fill>
        <x:patternFill patternType="solid">
          <x:bgColor rgb="FFD8E5D2"/>
        </x:patternFill>
      </x:fill>
    </x:dxf>
    <x:dxf>
      <x:font>
        <x:b/>
      </x:font>
      <x:fill>
        <x:patternFill patternType="solid">
          <x:bgColor rgb="FFF4E5B7"/>
        </x:patternFill>
      </x:fill>
    </x:dxf>
    <x:dxf>
      <x:font>
        <x:color rgb="FF7C302A"/>
      </x:font>
      <x:fill>
        <x:patternFill patternType="solid">
          <x:bgColor rgb="FFF3D7D3"/>
        </x:patternFill>
      </x:fill>
    </x:dxf>
    <x:dxf>
      <x:font>
        <x:b/>
        <x:color rgb="FF7C302A"/>
      </x:font>
      <x:fill>
        <x:patternFill patternType="solid">
          <x:bgColor rgb="FFF3D7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ee2bf7db44569" /><Relationship Type="http://schemas.openxmlformats.org/officeDocument/2006/relationships/theme" Target="/xl/theme/theme1.xml" Id="Rfca40432da0c48ff" /><Relationship Type="http://schemas.openxmlformats.org/officeDocument/2006/relationships/sharedStrings" Target="/xl/sharedStrings.xml" Id="R40d98882439642a3" /><Relationship Type="http://schemas.openxmlformats.org/officeDocument/2006/relationships/worksheet" Target="/xl/worksheets/sheet1.xml" Id="R9ce5b04a2f4b4415" /><Relationship Type="http://schemas.openxmlformats.org/officeDocument/2006/relationships/worksheet" Target="/xl/worksheets/sheet2.xml" Id="Rf6a8bb2c24924a7e" /><Relationship Type="http://schemas.openxmlformats.org/officeDocument/2006/relationships/worksheet" Target="/xl/worksheets/sheet3.xml" Id="R7abb55d4471c4316" /><Relationship Type="http://schemas.openxmlformats.org/officeDocument/2006/relationships/worksheet" Target="/xl/worksheets/sheet4.xml" Id="Rb2953106de5a452d" /><Relationship Type="http://schemas.openxmlformats.org/officeDocument/2006/relationships/worksheet" Target="/xl/worksheets/sheet5.xml" Id="Reb5a471f873f49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97e482a1d647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Leads por recomendação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'Painel'!$A$10:$A$13</c:f>
              <c:strCache>
                <c:ptCount val="0"/>
              </c:strCache>
            </c:strRef>
          </c:cat>
          <c:val>
            <c:numRef>
              <c:f>'Painel'!$B$10:$B$13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97e482a1d647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dosLeadsTable" displayName="TodosLeadsTable" ref="A4:AC29" headerRowCount="1">
  <x:tableColumns count="29">
    <x:tableColumn id="1" name="ID"/>
    <x:tableColumn id="2" name="Pesquisa"/>
    <x:tableColumn id="3" name="Recomendação"/>
    <x:tableColumn id="4" name="Perfil Instagram"/>
    <x:tableColumn id="5" name="Nome / Negócio"/>
    <x:tableColumn id="6" name="Segmento principal"/>
    <x:tableColumn id="7" name="Serviços"/>
    <x:tableColumn id="8" name="Cidade"/>
    <x:tableColumn id="9" name="UF"/>
    <x:tableColumn id="10" name="Região"/>
    <x:tableColumn id="11" name="Pontuação auditada"/>
    <x:tableColumn id="12" name="Classe"/>
    <x:tableColumn id="13" name="Última publicação"/>
    <x:tableColumn id="14" name="WhatsApp"/>
    <x:tableColumn id="15" name="Dona/equipe pequena"/>
    <x:tableColumn id="16" name="Serviços recorrentes"/>
    <x:tableColumn id="17" name="Agenda aberta"/>
    <x:tableColumn id="18" name="Boas fotos"/>
    <x:tableColumn id="19" name="Artes visualmente fracas"/>
    <x:tableColumn id="20" name="Evidências / motivo"/>
    <x:tableColumn id="21" name="Gancho personalizado"/>
    <x:tableColumn id="22" name="URL Instagram"/>
    <x:tableColumn id="23" name="Status"/>
    <x:tableColumn id="24" name="Data 1º contato"/>
    <x:tableColumn id="25" name="Próxima ação"/>
    <x:tableColumn id="26" name="Data próxima ação"/>
    <x:tableColumn id="27" name="Valor do pacote"/>
    <x:tableColumn id="28" name="Receita fechada"/>
    <x:tableColumn id="29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LeadsLocalTable" displayName="LeadsLocalTable" ref="A4:AC14" headerRowCount="1">
  <x:tableColumns count="29">
    <x:tableColumn id="1" name="ID"/>
    <x:tableColumn id="2" name="Pesquisa"/>
    <x:tableColumn id="3" name="Recomendação"/>
    <x:tableColumn id="4" name="Perfil Instagram"/>
    <x:tableColumn id="5" name="Nome / Negócio"/>
    <x:tableColumn id="6" name="Segmento principal"/>
    <x:tableColumn id="7" name="Serviços"/>
    <x:tableColumn id="8" name="Cidade"/>
    <x:tableColumn id="9" name="UF"/>
    <x:tableColumn id="10" name="Região"/>
    <x:tableColumn id="11" name="Pontuação auditada"/>
    <x:tableColumn id="12" name="Classe"/>
    <x:tableColumn id="13" name="Última publicação"/>
    <x:tableColumn id="14" name="WhatsApp"/>
    <x:tableColumn id="15" name="Dona/equipe pequena"/>
    <x:tableColumn id="16" name="Serviços recorrentes"/>
    <x:tableColumn id="17" name="Agenda aberta"/>
    <x:tableColumn id="18" name="Boas fotos"/>
    <x:tableColumn id="19" name="Artes visualmente fracas"/>
    <x:tableColumn id="20" name="Evidências / motivo"/>
    <x:tableColumn id="21" name="Gancho personalizado"/>
    <x:tableColumn id="22" name="URL Instagram"/>
    <x:tableColumn id="23" name="Status"/>
    <x:tableColumn id="24" name="Data 1º contato"/>
    <x:tableColumn id="25" name="Próxima ação"/>
    <x:tableColumn id="26" name="Data próxima ação"/>
    <x:tableColumn id="27" name="Valor do pacote"/>
    <x:tableColumn id="28" name="Receita fechada"/>
    <x:tableColumn id="29" name="Observações"/>
  </x:tableColumns>
  <x:tableStyleInfo name="TableStyleMedium2" showRowStripes="1"/>
</x:table>
</file>

<file path=xl/tables/table3.xml><?xml version="1.0" encoding="utf-8"?>
<x:table xmlns:x="http://schemas.openxmlformats.org/spreadsheetml/2006/main" id="3" name="LeadsBrasilTable" displayName="LeadsBrasilTable" ref="A4:AC19" headerRowCount="1">
  <x:tableColumns count="29">
    <x:tableColumn id="1" name="ID"/>
    <x:tableColumn id="2" name="Pesquisa"/>
    <x:tableColumn id="3" name="Recomendação"/>
    <x:tableColumn id="4" name="Perfil Instagram"/>
    <x:tableColumn id="5" name="Nome / Negócio"/>
    <x:tableColumn id="6" name="Segmento principal"/>
    <x:tableColumn id="7" name="Serviços"/>
    <x:tableColumn id="8" name="Cidade"/>
    <x:tableColumn id="9" name="UF"/>
    <x:tableColumn id="10" name="Região"/>
    <x:tableColumn id="11" name="Pontuação auditada"/>
    <x:tableColumn id="12" name="Classe"/>
    <x:tableColumn id="13" name="Última publicação"/>
    <x:tableColumn id="14" name="WhatsApp"/>
    <x:tableColumn id="15" name="Dona/equipe pequena"/>
    <x:tableColumn id="16" name="Serviços recorrentes"/>
    <x:tableColumn id="17" name="Agenda aberta"/>
    <x:tableColumn id="18" name="Boas fotos"/>
    <x:tableColumn id="19" name="Artes visualmente fracas"/>
    <x:tableColumn id="20" name="Evidências / motivo"/>
    <x:tableColumn id="21" name="Gancho personalizado"/>
    <x:tableColumn id="22" name="URL Instagram"/>
    <x:tableColumn id="23" name="Status"/>
    <x:tableColumn id="24" name="Data 1º contato"/>
    <x:tableColumn id="25" name="Próxima ação"/>
    <x:tableColumn id="26" name="Data próxima ação"/>
    <x:tableColumn id="27" name="Valor do pacote"/>
    <x:tableColumn id="28" name="Receita fechada"/>
    <x:tableColumn id="29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fe0dd9e07940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441754a1bc47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ca7c8ca20a4f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80a89d214d44b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4" hidden="0" customWidth="1"/>
    <x:col min="6" max="6" width="14" hidden="0" customWidth="1"/>
    <x:col min="7" max="7" width="24" hidden="0" customWidth="1"/>
    <x:col min="8" max="8" width="14" hidden="0" customWidth="1"/>
    <x:col min="9" max="9" width="18" hidden="0" customWidth="1"/>
    <x:col min="10" max="10" width="18" hidden="0" customWidth="1"/>
  </x:cols>
  <x:sheetData>
    <x:row r="1" ht="38" customHeight="1">
      <x:c r="A1" s="41" t="str">
        <x:v>Painel de prospecção — Victor Takayama | Conteúdo Digital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25" customHeight="1">
      <x:c r="A2" s="11" t="str">
        <x:v>Controle dos leads levantados em 30/07/2026. Use a aba “Todos os Leads” como CRM principal.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23" customHeight="1">
      <x:c r="A4" s="45" t="str">
        <x:v>Total de leads</x:v>
      </x:c>
      <x:c r="B4" s="45"/>
      <x:c r="C4" s="45" t="str">
        <x:v>Santo André / ABC</x:v>
      </x:c>
      <x:c r="D4" s="45"/>
      <x:c r="E4" s="45" t="str">
        <x:v>Nacionais</x:v>
      </x:c>
      <x:c r="F4" s="45"/>
      <x:c r="G4" s="45" t="str">
        <x:v>Prioridade ≥ 9</x:v>
      </x:c>
      <x:c r="H4" s="45"/>
      <x:c r="I4" s="45" t="str">
        <x:v>Receita fechada</x:v>
      </x:c>
      <x:c r="J4" s="45"/>
    </x:row>
    <x:row r="5" ht="30" customHeight="1">
      <x:c r="A5" s="50" t="n">
        <x:f>COUNTA('Todos os Leads'!D5:D200)</x:f>
        <x:v>25</x:v>
      </x:c>
      <x:c r="B5" s="50"/>
      <x:c r="C5" s="50" t="n">
        <x:f>COUNTIF('Todos os Leads'!B5:B200,"Santo André / ABC")</x:f>
        <x:v>10</x:v>
      </x:c>
      <x:c r="D5" s="50"/>
      <x:c r="E5" s="50" t="n">
        <x:f>COUNTIF('Todos os Leads'!B5:B200,"Nacional")</x:f>
        <x:v>15</x:v>
      </x:c>
      <x:c r="F5" s="50"/>
      <x:c r="G5" s="50" t="n">
        <x:f>COUNTIF('Todos os Leads'!K5:K200,"&gt;=9")</x:f>
        <x:v>16</x:v>
      </x:c>
      <x:c r="H5" s="50"/>
      <x:c r="I5" s="54" t="n">
        <x:f>SUM('Todos os Leads'!AB5:AB200)</x:f>
        <x:v>0</x:v>
      </x:c>
      <x:c r="J5" s="54"/>
    </x:row>
    <x:row r="6" ht="30" customHeight="1">
      <x:c r="A6" s="50"/>
      <x:c r="B6" s="50"/>
      <x:c r="C6" s="50"/>
      <x:c r="D6" s="50"/>
      <x:c r="E6" s="50"/>
      <x:c r="F6" s="50"/>
      <x:c r="G6" s="50"/>
      <x:c r="H6" s="50"/>
      <x:c r="I6" s="54"/>
      <x:c r="J6" s="54"/>
    </x:row>
    <x:row r="9">
      <x:c r="A9" s="58" t="str">
        <x:v>Recomendação</x:v>
      </x:c>
      <x:c r="B9" s="58" t="str">
        <x:v>Quantidade</x:v>
      </x:c>
      <x:c r="D9" s="58" t="str">
        <x:v>Segmento principal</x:v>
      </x:c>
      <x:c r="E9" s="58" t="str">
        <x:v>Leads</x:v>
      </x:c>
      <x:c r="G9" s="58" t="str">
        <x:v>Status do funil</x:v>
      </x:c>
      <x:c r="H9" s="58" t="str">
        <x:v>Quantidade</x:v>
      </x:c>
    </x:row>
    <x:row r="10">
      <x:c r="A10" s="62" t="str">
        <x:v>Muito alta</x:v>
      </x:c>
      <x:c r="B10" s="62" t="n">
        <x:f>COUNTIF('Todos os Leads'!C5:C200,"Muito alta")</x:f>
        <x:v>13</x:v>
      </x:c>
      <x:c r="D10" s="62" t="str">
        <x:v>Lash designer</x:v>
      </x:c>
      <x:c r="E10" s="62" t="n">
        <x:f>COUNTIF('Todos os Leads'!F5:F200,"Lash designer")</x:f>
        <x:v>7</x:v>
      </x:c>
      <x:c r="G10" s="62" t="str">
        <x:v>Não contatado</x:v>
      </x:c>
      <x:c r="H10" s="62" t="n">
        <x:f>COUNTIF('Todos os Leads'!W5:W200,"Não contatado")</x:f>
        <x:v>25</x:v>
      </x:c>
    </x:row>
    <x:row r="11">
      <x:c r="A11" s="62" t="str">
        <x:v>Alta</x:v>
      </x:c>
      <x:c r="B11" s="62" t="n">
        <x:f>COUNTIF('Todos os Leads'!C5:C200,"Alta")</x:f>
        <x:v>4</x:v>
      </x:c>
      <x:c r="D11" s="62" t="str">
        <x:v>Designer de sobrancelhas</x:v>
      </x:c>
      <x:c r="E11" s="62" t="n">
        <x:f>COUNTIF('Todos os Leads'!F5:F200,"Designer de sobrancelhas")</x:f>
        <x:v>7</x:v>
      </x:c>
      <x:c r="G11" s="62" t="str">
        <x:v>Mensagem enviada</x:v>
      </x:c>
      <x:c r="H11" s="62" t="n">
        <x:f>COUNTIF('Todos os Leads'!W5:W200,"Mensagem enviada")</x:f>
        <x:v>0</x:v>
      </x:c>
    </x:row>
    <x:row r="12">
      <x:c r="A12" s="62" t="str">
        <x:v>Segunda lista</x:v>
      </x:c>
      <x:c r="B12" s="62" t="n">
        <x:f>COUNTIF('Todos os Leads'!C5:C200,"Segunda lista")</x:f>
        <x:v>6</x:v>
      </x:c>
      <x:c r="D12" s="62" t="str">
        <x:v>Nail designer</x:v>
      </x:c>
      <x:c r="E12" s="62" t="n">
        <x:f>COUNTIF('Todos os Leads'!F5:F200,"Nail designer")</x:f>
        <x:v>7</x:v>
      </x:c>
      <x:c r="G12" s="62" t="str">
        <x:v>Respondeu</x:v>
      </x:c>
      <x:c r="H12" s="62" t="n">
        <x:f>COUNTIF('Todos os Leads'!W5:W200,"Respondeu")</x:f>
        <x:v>0</x:v>
      </x:c>
    </x:row>
    <x:row r="13">
      <x:c r="A13" s="62" t="str">
        <x:v>Não priorizar</x:v>
      </x:c>
      <x:c r="B13" s="62" t="n">
        <x:f>COUNTIF('Todos os Leads'!C5:C200,"Não priorizar")</x:f>
        <x:v>2</x:v>
      </x:c>
      <x:c r="D13" s="62" t="str">
        <x:v>Esteticista</x:v>
      </x:c>
      <x:c r="E13" s="62" t="n">
        <x:f>COUNTIF('Todos os Leads'!F5:F200,"Esteticista")</x:f>
        <x:v>4</x:v>
      </x:c>
      <x:c r="G13" s="62" t="str">
        <x:v>Portfólio enviado</x:v>
      </x:c>
      <x:c r="H13" s="62" t="n">
        <x:f>COUNTIF('Todos os Leads'!W5:W200,"Portfólio enviado")</x:f>
        <x:v>0</x:v>
      </x:c>
    </x:row>
    <x:row r="14">
      <x:c r="G14" s="62" t="str">
        <x:v>Proposta feita</x:v>
      </x:c>
      <x:c r="H14" s="62" t="n">
        <x:f>COUNTIF('Todos os Leads'!W5:W200,"Proposta feita")</x:f>
        <x:v>0</x:v>
      </x:c>
    </x:row>
    <x:row r="15">
      <x:c r="G15" s="62" t="str">
        <x:v>Aguardando pagamento</x:v>
      </x:c>
      <x:c r="H15" s="62" t="n">
        <x:f>COUNTIF('Todos os Leads'!W5:W200,"Aguardando pagamento")</x:f>
        <x:v>0</x:v>
      </x:c>
    </x:row>
    <x:row r="16">
      <x:c r="G16" s="62" t="str">
        <x:v>Fechado</x:v>
      </x:c>
      <x:c r="H16" s="62" t="n">
        <x:f>COUNTIF('Todos os Leads'!W5:W200,"Fechado")</x:f>
        <x:v>0</x:v>
      </x:c>
    </x:row>
    <x:row r="18" ht="24" customHeight="1">
      <x:c r="A18" s="64" t="str">
        <x:v>Rotina recomendada</x:v>
      </x:c>
      <x:c r="B18" s="64"/>
      <x:c r="C18" s="64"/>
      <x:c r="D18" s="64"/>
      <x:c r="E18" s="64"/>
      <x:c r="F18" s="64"/>
      <x:c r="G18" s="64"/>
      <x:c r="H18" s="64"/>
      <x:c r="I18" s="64"/>
      <x:c r="J18" s="64"/>
    </x:row>
    <x:row r="19" ht="27" customHeight="1">
      <x:c r="A19" s="74" t="str">
        <x:v>1</x:v>
      </x:c>
      <x:c r="B19" s="68" t="str">
        <x:v>Validar 10 perfis de prioridade muito alta diretamente no aplicativo.</x:v>
      </x:c>
      <x:c r="C19" s="68" t="str"/>
      <x:c r="D19" s="68" t="str"/>
      <x:c r="E19" s="68" t="str"/>
      <x:c r="F19" s="68" t="str"/>
      <x:c r="G19" s="68" t="str"/>
      <x:c r="H19" s="68" t="str"/>
      <x:c r="I19" s="68" t="str"/>
      <x:c r="J19" s="68" t="str"/>
    </x:row>
    <x:row r="20" ht="27" customHeight="1">
      <x:c r="A20" s="74" t="str">
        <x:v>2</x:v>
      </x:c>
      <x:c r="B20" s="68" t="str">
        <x:v>Enviar mensagens personalizadas; nunca iniciar enviando o PDF sem permissão.</x:v>
      </x:c>
      <x:c r="C20" s="68" t="str"/>
      <x:c r="D20" s="68" t="str"/>
      <x:c r="E20" s="68" t="str"/>
      <x:c r="F20" s="68" t="str"/>
      <x:c r="G20" s="68" t="str"/>
      <x:c r="H20" s="68" t="str"/>
      <x:c r="I20" s="68" t="str"/>
      <x:c r="J20" s="68" t="str"/>
    </x:row>
    <x:row r="21" ht="27" customHeight="1">
      <x:c r="A21" s="74" t="str">
        <x:v>3</x:v>
      </x:c>
      <x:c r="B21" s="68" t="str">
        <x:v>Atualizar status e próxima ação imediatamente após cada conversa.</x:v>
      </x:c>
      <x:c r="C21" s="68" t="str"/>
      <x:c r="D21" s="68" t="str"/>
      <x:c r="E21" s="68" t="str"/>
      <x:c r="F21" s="68" t="str"/>
      <x:c r="G21" s="68" t="str"/>
      <x:c r="H21" s="68" t="str"/>
      <x:c r="I21" s="68" t="str"/>
      <x:c r="J21" s="68" t="str"/>
    </x:row>
    <x:row r="22" ht="27" customHeight="1">
      <x:c r="A22" s="74" t="str">
        <x:v>4</x:v>
      </x:c>
      <x:c r="B22" s="68" t="str">
        <x:v>Fazer follow-up em 24–48 horas; encerrar após a terceira tentativa sem resposta.</x:v>
      </x:c>
      <x:c r="C22" s="68" t="str"/>
      <x:c r="D22" s="68" t="str"/>
      <x:c r="E22" s="68" t="str"/>
      <x:c r="F22" s="68" t="str"/>
      <x:c r="G22" s="68" t="str"/>
      <x:c r="H22" s="68" t="str"/>
      <x:c r="I22" s="68" t="str"/>
      <x:c r="J22" s="68" t="str"/>
    </x:row>
    <x:row r="23" ht="27" customHeight="1">
      <x:c r="A23" s="74" t="str">
        <x:v>5</x:v>
      </x:c>
      <x:c r="B23" s="68" t="str">
        <x:v>Ao fechar, registrar R$ 147 no valor e mudar o status para “Fechado”.</x:v>
      </x:c>
      <x:c r="C23" s="68" t="str"/>
      <x:c r="D23" s="68" t="str"/>
      <x:c r="E23" s="68" t="str"/>
      <x:c r="F23" s="68" t="str"/>
      <x:c r="G23" s="68" t="str"/>
      <x:c r="H23" s="68" t="str"/>
      <x:c r="I23" s="68" t="str"/>
      <x:c r="J23" s="68" t="str"/>
    </x:row>
  </x:sheetData>
  <x:mergeCells>
    <x:mergeCell ref="A1:J1"/>
    <x:mergeCell ref="A2:J2"/>
    <x:mergeCell ref="A4:B4"/>
    <x:mergeCell ref="A5:B6"/>
    <x:mergeCell ref="C4:D4"/>
    <x:mergeCell ref="C5:D6"/>
    <x:mergeCell ref="E4:F4"/>
    <x:mergeCell ref="E5:F6"/>
    <x:mergeCell ref="G4:H4"/>
    <x:mergeCell ref="G5:H6"/>
    <x:mergeCell ref="I4:J4"/>
    <x:mergeCell ref="I5:J6"/>
    <x:mergeCell ref="A18:J18"/>
    <x:mergeCell ref="B19:J19"/>
    <x:mergeCell ref="B20:J20"/>
    <x:mergeCell ref="B21:J21"/>
    <x:mergeCell ref="B22:J22"/>
    <x:mergeCell ref="B23:J23"/>
  </x:mergeCells>
  <x:pageMargins left="0.7" right="0.7" top="0.75" bottom="0.75" header="0.3" footer="0.3"/>
  <x:drawing xmlns:r="http://schemas.openxmlformats.org/officeDocument/2006/relationships" r:id="R75fe0dd9e0794088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5" hidden="0" customWidth="1"/>
    <x:col min="4" max="4" width="22" hidden="0" customWidth="1"/>
    <x:col min="5" max="5" width="28" hidden="0" customWidth="1"/>
    <x:col min="6" max="6" width="22" hidden="0" customWidth="1"/>
    <x:col min="7" max="7" width="34" hidden="0" customWidth="1"/>
    <x:col min="8" max="8" width="23" hidden="0" customWidth="1"/>
    <x:col min="9" max="9" width="8" hidden="0" customWidth="1"/>
    <x:col min="10" max="10" width="15" hidden="0" customWidth="1"/>
    <x:col min="11" max="11" width="12" hidden="0" customWidth="1"/>
    <x:col min="12" max="12" width="9" hidden="0" customWidth="1"/>
    <x:col min="13" max="13" width="14" hidden="0" customWidth="1"/>
    <x:col min="14" max="14" width="12" hidden="0" customWidth="1"/>
    <x:col min="15" max="15" width="16" hidden="0" customWidth="1"/>
    <x:col min="16" max="16" width="16" hidden="0" customWidth="1"/>
    <x:col min="17" max="17" width="13" hidden="0" customWidth="1"/>
    <x:col min="18" max="18" width="13" hidden="0" customWidth="1"/>
    <x:col min="19" max="19" width="18" hidden="0" customWidth="1"/>
    <x:col min="20" max="20" width="42" hidden="0" customWidth="1"/>
    <x:col min="21" max="21" width="55" hidden="0" customWidth="1"/>
    <x:col min="22" max="22" width="35" hidden="0" customWidth="1"/>
    <x:col min="23" max="23" width="20" hidden="0" customWidth="1"/>
    <x:col min="24" max="24" width="14" hidden="0" customWidth="1"/>
    <x:col min="25" max="25" width="28" hidden="0" customWidth="1"/>
    <x:col min="26" max="26" width="15" hidden="0" customWidth="1"/>
    <x:col min="27" max="27" width="15" hidden="0" customWidth="1"/>
    <x:col min="28" max="28" width="16" hidden="0" customWidth="1"/>
    <x:col min="29" max="29" width="34" hidden="0" customWidth="1"/>
  </x:cols>
  <x:sheetData>
    <x:row r="1" ht="34" customHeight="1">
      <x:c r="A1" s="5" t="str">
        <x:v>Base consolidada de leads — Victor Takayama | Conteúdo Digital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6" customHeight="1">
      <x:c r="A2" s="12" t="str">
        <x:v>25 leads das pesquisas de Santo André/ABC e Brasil. Atualize os campos operacionais para acompanhar a prospecção.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</x:row>
    <x:row r="4" ht="38" customHeight="1">
      <x:c r="A4" s="20" t="str">
        <x:v>ID</x:v>
      </x:c>
      <x:c r="B4" s="20" t="str">
        <x:v>Pesquisa</x:v>
      </x:c>
      <x:c r="C4" s="20" t="str">
        <x:v>Recomendação</x:v>
      </x:c>
      <x:c r="D4" s="20" t="str">
        <x:v>Perfil Instagram</x:v>
      </x:c>
      <x:c r="E4" s="20" t="str">
        <x:v>Nome / Negócio</x:v>
      </x:c>
      <x:c r="F4" s="20" t="str">
        <x:v>Segmento principal</x:v>
      </x:c>
      <x:c r="G4" s="20" t="str">
        <x:v>Serviços</x:v>
      </x:c>
      <x:c r="H4" s="20" t="str">
        <x:v>Cidade</x:v>
      </x:c>
      <x:c r="I4" s="20" t="str">
        <x:v>UF</x:v>
      </x:c>
      <x:c r="J4" s="20" t="str">
        <x:v>Região</x:v>
      </x:c>
      <x:c r="K4" s="20" t="str">
        <x:v>Pontuação auditada</x:v>
      </x:c>
      <x:c r="L4" s="20" t="str">
        <x:v>Classe</x:v>
      </x:c>
      <x:c r="M4" s="20" t="str">
        <x:v>Última publicação</x:v>
      </x:c>
      <x:c r="N4" s="20" t="str">
        <x:v>WhatsApp</x:v>
      </x:c>
      <x:c r="O4" s="20" t="str">
        <x:v>Dona/equipe pequena</x:v>
      </x:c>
      <x:c r="P4" s="20" t="str">
        <x:v>Serviços recorrentes</x:v>
      </x:c>
      <x:c r="Q4" s="20" t="str">
        <x:v>Agenda aberta</x:v>
      </x:c>
      <x:c r="R4" s="20" t="str">
        <x:v>Boas fotos</x:v>
      </x:c>
      <x:c r="S4" s="20" t="str">
        <x:v>Artes visualmente fracas</x:v>
      </x:c>
      <x:c r="T4" s="20" t="str">
        <x:v>Evidências / motivo</x:v>
      </x:c>
      <x:c r="U4" s="20" t="str">
        <x:v>Gancho personalizado</x:v>
      </x:c>
      <x:c r="V4" s="20" t="str">
        <x:v>URL Instagram</x:v>
      </x:c>
      <x:c r="W4" s="20" t="str">
        <x:v>Status</x:v>
      </x:c>
      <x:c r="X4" s="20" t="str">
        <x:v>Data 1º contato</x:v>
      </x:c>
      <x:c r="Y4" s="20" t="str">
        <x:v>Próxima ação</x:v>
      </x:c>
      <x:c r="Z4" s="20" t="str">
        <x:v>Data próxima ação</x:v>
      </x:c>
      <x:c r="AA4" s="20" t="str">
        <x:v>Valor do pacote</x:v>
      </x:c>
      <x:c r="AB4" s="20" t="str">
        <x:v>Receita fechada</x:v>
      </x:c>
      <x:c r="AC4" s="20" t="str">
        <x:v>Observações</x:v>
      </x:c>
    </x:row>
    <x:row r="5">
      <x:c r="A5" s="34" t="n">
        <x:v>1</x:v>
      </x:c>
      <x:c r="B5" s="29" t="str">
        <x:v>Santo André / ABC</x:v>
      </x:c>
      <x:c r="C5" s="29" t="str">
        <x:v>Muito alta</x:v>
      </x:c>
      <x:c r="D5" s="29" t="str">
        <x:v>@studioafcilios</x:v>
      </x:c>
      <x:c r="E5" s="29" t="str">
        <x:v>Studio AF Cílios / Amanda Fernanda</x:v>
      </x:c>
      <x:c r="F5" s="29" t="str">
        <x:v>Lash designer</x:v>
      </x:c>
      <x:c r="G5" s="29" t="str">
        <x:v>Extensão de cílios e estética do olhar</x:v>
      </x:c>
      <x:c r="H5" s="29" t="str">
        <x:v>Santo André</x:v>
      </x:c>
      <x:c r="I5" s="29" t="str">
        <x:v>SP</x:v>
      </x:c>
      <x:c r="J5" s="29" t="str">
        <x:v>Sudeste</x:v>
      </x:c>
      <x:c r="K5" s="34" t="n">
        <x:v>9</x:v>
      </x:c>
      <x:c r="L5" s="34" t="str">
        <x:f>IF(ISNUMBER(K5),IF(K5&gt;=9,"A",IF(K5&gt;=7,"B","C")),"N/D")</x:f>
        <x:v>A</x:v>
      </x:c>
      <x:c r="M5" s="36" t="n">
        <x:v>46227</x:v>
      </x:c>
      <x:c r="N5" s="29" t="str">
        <x:v>Sim</x:v>
      </x:c>
      <x:c r="O5" s="29" t="str">
        <x:v>Sim</x:v>
      </x:c>
      <x:c r="P5" s="29" t="str">
        <x:v>Sim</x:v>
      </x:c>
      <x:c r="Q5" s="29" t="str">
        <x:v>Sim</x:v>
      </x:c>
      <x:c r="R5" s="29" t="str">
        <x:v>A confirmar</x:v>
      </x:c>
      <x:c r="S5" s="29" t="str">
        <x:v>A confirmar</x:v>
      </x:c>
      <x:c r="T5" s="29" t="str">
        <x:v>Perfil pessoal, porte pequeno, publicação recente, serviços recorrentes e chamada para agendamento pelo WhatsApp.</x:v>
      </x:c>
      <x:c r="U5" s="29" t="str">
        <x:v>Olá, Amanda. Vi o conteúdo sobre “o poder de um olhar” e gostei da maneira como você apresenta o resultado dos fios. Percebi uma oportunidade de transformar esse tipo de conteúdo em uma sequência mais organizada, com capas, orientação e chamadas para agendamento, mantendo o seu estilo. Posso te mostrar uma sugestão rápida?</x:v>
      </x:c>
      <x:c r="V5" s="29" t="str">
        <x:v>https://www.instagram.com/studioafcilios/</x:v>
      </x:c>
      <x:c r="W5" s="29" t="str">
        <x:v>Não contatado</x:v>
      </x:c>
      <x:c r="X5" s="36"/>
      <x:c r="Y5" s="29" t="str">
        <x:v>Validar perfil no Instagram</x:v>
      </x:c>
      <x:c r="Z5" s="36"/>
      <x:c r="AA5" s="38" t="n">
        <x:v>147</x:v>
      </x:c>
      <x:c r="AB5" s="38" t="n">
        <x:f>IF(W5="Fechado",AA5,0)</x:f>
        <x:v>0</x:v>
      </x:c>
      <x:c r="AC5" s="29" t="str"/>
    </x:row>
    <x:row r="6">
      <x:c r="A6" s="34" t="n">
        <x:v>2</x:v>
      </x:c>
      <x:c r="B6" s="29" t="str">
        <x:v>Santo André / ABC</x:v>
      </x:c>
      <x:c r="C6" s="29" t="str">
        <x:v>Muito alta</x:v>
      </x:c>
      <x:c r="D6" s="29" t="str">
        <x:v>@brunabianco.s</x:v>
      </x:c>
      <x:c r="E6" s="29" t="str">
        <x:v>Bruna Bianco</x:v>
      </x:c>
      <x:c r="F6" s="29" t="str">
        <x:v>Designer de sobrancelhas</x:v>
      </x:c>
      <x:c r="G6" s="29" t="str">
        <x:v>Design personalizado, micropigmentação, brow lamination e lash lifting</x:v>
      </x:c>
      <x:c r="H6" s="29" t="str">
        <x:v>Santo André</x:v>
      </x:c>
      <x:c r="I6" s="29" t="str">
        <x:v>SP</x:v>
      </x:c>
      <x:c r="J6" s="29" t="str">
        <x:v>Sudeste</x:v>
      </x:c>
      <x:c r="K6" s="34" t="n">
        <x:v>9</x:v>
      </x:c>
      <x:c r="L6" s="34" t="str">
        <x:f>IF(ISNUMBER(K6),IF(K6&gt;=9,"A",IF(K6&gt;=7,"B","C")),"N/D")</x:f>
        <x:v>A</x:v>
      </x:c>
      <x:c r="M6" s="36" t="n">
        <x:v>46228</x:v>
      </x:c>
      <x:c r="N6" s="29" t="str">
        <x:v>Sim</x:v>
      </x:c>
      <x:c r="O6" s="29" t="str">
        <x:v>Sim</x:v>
      </x:c>
      <x:c r="P6" s="29" t="str">
        <x:v>Sim</x:v>
      </x:c>
      <x:c r="Q6" s="29" t="str">
        <x:v>Sim</x:v>
      </x:c>
      <x:c r="R6" s="29" t="str">
        <x:v>A confirmar</x:v>
      </x:c>
      <x:c r="S6" s="29" t="str">
        <x:v>A confirmar</x:v>
      </x:c>
      <x:c r="T6" s="29" t="str">
        <x:v>Studio pequeno, administrado pela própria profissional, WhatsApp público, variedade de serviços e atividade recente.</x:v>
      </x:c>
      <x:c r="U6" s="29" t="str">
        <x:v>Olá, Bruna. Vi que você trabalha com design personalizado, micropigmentação, brow lamination e lash lifting. Seus serviços permitem criar uma sequência muito boa de conteúdo educativo, resultados e agenda. Percebi uma oportunidade de organizar esses temas para deixar o perfil mais comercial sem perder a delicadeza da sua comunicação. Posso te mostrar?</x:v>
      </x:c>
      <x:c r="V6" s="29" t="str">
        <x:v>https://www.instagram.com/brunabianco.s/</x:v>
      </x:c>
      <x:c r="W6" s="29" t="str">
        <x:v>Não contatado</x:v>
      </x:c>
      <x:c r="X6" s="36"/>
      <x:c r="Y6" s="29" t="str">
        <x:v>Validar perfil no Instagram</x:v>
      </x:c>
      <x:c r="Z6" s="36"/>
      <x:c r="AA6" s="38" t="n">
        <x:v>147</x:v>
      </x:c>
      <x:c r="AB6" s="38" t="n">
        <x:f>IF(W6="Fechado",AA6,0)</x:f>
        <x:v>0</x:v>
      </x:c>
      <x:c r="AC6" s="29" t="str"/>
    </x:row>
    <x:row r="7">
      <x:c r="A7" s="34" t="n">
        <x:v>3</x:v>
      </x:c>
      <x:c r="B7" s="29" t="str">
        <x:v>Santo André / ABC</x:v>
      </x:c>
      <x:c r="C7" s="29" t="str">
        <x:v>Muito alta</x:v>
      </x:c>
      <x:c r="D7" s="29" t="str">
        <x:v>@emellyvitoria.nail</x:v>
      </x:c>
      <x:c r="E7" s="29" t="str">
        <x:v>Emelly Vitória Nail</x:v>
      </x:c>
      <x:c r="F7" s="29" t="str">
        <x:v>Nail designer</x:v>
      </x:c>
      <x:c r="G7" s="29" t="str">
        <x:v>Alongamento, banho de gel e esmaltação</x:v>
      </x:c>
      <x:c r="H7" s="29" t="str">
        <x:v>ABC Paulista (confirmar)</x:v>
      </x:c>
      <x:c r="I7" s="29" t="str">
        <x:v>SP</x:v>
      </x:c>
      <x:c r="J7" s="29" t="str">
        <x:v>Sudeste</x:v>
      </x:c>
      <x:c r="K7" s="34" t="n">
        <x:v>9</x:v>
      </x:c>
      <x:c r="L7" s="34" t="str">
        <x:f>IF(ISNUMBER(K7),IF(K7&gt;=9,"A",IF(K7&gt;=7,"B","C")),"N/D")</x:f>
        <x:v>A</x:v>
      </x:c>
      <x:c r="M7" s="36" t="n">
        <x:v>46226</x:v>
      </x:c>
      <x:c r="N7" s="29" t="str">
        <x:v>Sim</x:v>
      </x:c>
      <x:c r="O7" s="29" t="str">
        <x:v>Sim</x:v>
      </x:c>
      <x:c r="P7" s="29" t="str">
        <x:v>Sim</x:v>
      </x:c>
      <x:c r="Q7" s="29" t="str">
        <x:v>Sim</x:v>
      </x:c>
      <x:c r="R7" s="29" t="str">
        <x:v>A confirmar</x:v>
      </x:c>
      <x:c r="S7" s="29" t="str">
        <x:v>A confirmar</x:v>
      </x:c>
      <x:c r="T7" s="29" t="str">
        <x:v>Marca pessoal, serviços de alta recorrência, publicação recente e agendamento pelo WhatsApp da bio.</x:v>
      </x:c>
      <x:c r="U7" s="29" t="str">
        <x:v>Olá, Emelly. Vi seus trabalhos de alongamento, banho de gel e esmaltação. Os resultados já fornecem um material muito bom para conteúdo. Percebi que daria para organizar uma semana completa alternando resultados, cuidados, inspirações e horários disponíveis. Posso te mostrar uma ideia?</x:v>
      </x:c>
      <x:c r="V7" s="29" t="str">
        <x:v>https://www.instagram.com/emellyvitoria.nail/</x:v>
      </x:c>
      <x:c r="W7" s="29" t="str">
        <x:v>Não contatado</x:v>
      </x:c>
      <x:c r="X7" s="36"/>
      <x:c r="Y7" s="29" t="str">
        <x:v>Validar perfil no Instagram</x:v>
      </x:c>
      <x:c r="Z7" s="36"/>
      <x:c r="AA7" s="38" t="n">
        <x:v>147</x:v>
      </x:c>
      <x:c r="AB7" s="38" t="n">
        <x:f>IF(W7="Fechado",AA7,0)</x:f>
        <x:v>0</x:v>
      </x:c>
      <x:c r="AC7" s="29" t="str"/>
    </x:row>
    <x:row r="8">
      <x:c r="A8" s="34" t="n">
        <x:v>4</x:v>
      </x:c>
      <x:c r="B8" s="29" t="str">
        <x:v>Santo André / ABC</x:v>
      </x:c>
      <x:c r="C8" s="29" t="str">
        <x:v>Muito alta</x:v>
      </x:c>
      <x:c r="D8" s="29" t="str">
        <x:v>@thalialashdesigner9</x:v>
      </x:c>
      <x:c r="E8" s="29" t="str">
        <x:v>Thalia Caroline</x:v>
      </x:c>
      <x:c r="F8" s="29" t="str">
        <x:v>Lash designer</x:v>
      </x:c>
      <x:c r="G8" s="29" t="str">
        <x:v>Extensão de cílios e atendimentos de beleza</x:v>
      </x:c>
      <x:c r="H8" s="29" t="str">
        <x:v>Santo André</x:v>
      </x:c>
      <x:c r="I8" s="29" t="str">
        <x:v>SP</x:v>
      </x:c>
      <x:c r="J8" s="29" t="str">
        <x:v>Sudeste</x:v>
      </x:c>
      <x:c r="K8" s="34" t="n">
        <x:v>9</x:v>
      </x:c>
      <x:c r="L8" s="34" t="str">
        <x:f>IF(ISNUMBER(K8),IF(K8&gt;=9,"A",IF(K8&gt;=7,"B","C")),"N/D")</x:f>
        <x:v>A</x:v>
      </x:c>
      <x:c r="M8" s="36" t="n">
        <x:v>46226</x:v>
      </x:c>
      <x:c r="N8" s="29" t="str">
        <x:v>Sim</x:v>
      </x:c>
      <x:c r="O8" s="29" t="str">
        <x:v>Sim</x:v>
      </x:c>
      <x:c r="P8" s="29" t="str">
        <x:v>Sim</x:v>
      </x:c>
      <x:c r="Q8" s="29" t="str">
        <x:v>Sim</x:v>
      </x:c>
      <x:c r="R8" s="29" t="str">
        <x:v>A confirmar</x:v>
      </x:c>
      <x:c r="S8" s="29" t="str">
        <x:v>A confirmar</x:v>
      </x:c>
      <x:c r="T8" s="29" t="str">
        <x:v>Perfil pessoal, publicações de agenda, linguagem em primeira pessoa e chamadas para WhatsApp.</x:v>
      </x:c>
      <x:c r="U8" s="29" t="str">
        <x:v>Olá, Thalia. Vi que você está divulgando seus horários e mostrando resultados dos atendimentos. Uma oportunidade seria padronizar as capas e alternar agenda, resultado, técnica e cuidados pós-procedimento. Isso deixaria o perfil mais organizado sem mudar sua forma de trabalhar. Posso te mostrar uma sugestão?</x:v>
      </x:c>
      <x:c r="V8" s="29" t="str">
        <x:v>https://www.instagram.com/thalialashdesigner9/</x:v>
      </x:c>
      <x:c r="W8" s="29" t="str">
        <x:v>Não contatado</x:v>
      </x:c>
      <x:c r="X8" s="36"/>
      <x:c r="Y8" s="29" t="str">
        <x:v>Validar perfil no Instagram</x:v>
      </x:c>
      <x:c r="Z8" s="36"/>
      <x:c r="AA8" s="38" t="n">
        <x:v>147</x:v>
      </x:c>
      <x:c r="AB8" s="38" t="n">
        <x:f>IF(W8="Fechado",AA8,0)</x:f>
        <x:v>0</x:v>
      </x:c>
      <x:c r="AC8" s="29" t="str"/>
    </x:row>
    <x:row r="9">
      <x:c r="A9" s="34" t="n">
        <x:v>5</x:v>
      </x:c>
      <x:c r="B9" s="29" t="str">
        <x:v>Santo André / ABC</x:v>
      </x:c>
      <x:c r="C9" s="29" t="str">
        <x:v>Muito alta</x:v>
      </x:c>
      <x:c r="D9" s="29" t="str">
        <x:v>@feitasporlari</x:v>
      </x:c>
      <x:c r="E9" s="29" t="str">
        <x:v>Feitas por Lari</x:v>
      </x:c>
      <x:c r="F9" s="29" t="str">
        <x:v>Nail designer</x:v>
      </x:c>
      <x:c r="G9" s="29" t="str">
        <x:v>Unhas, cílios e sobrancelhas</x:v>
      </x:c>
      <x:c r="H9" s="29" t="str">
        <x:v>Santo André</x:v>
      </x:c>
      <x:c r="I9" s="29" t="str">
        <x:v>SP</x:v>
      </x:c>
      <x:c r="J9" s="29" t="str">
        <x:v>Sudeste</x:v>
      </x:c>
      <x:c r="K9" s="34" t="n">
        <x:v>9</x:v>
      </x:c>
      <x:c r="L9" s="34" t="str">
        <x:f>IF(ISNUMBER(K9),IF(K9&gt;=9,"A",IF(K9&gt;=7,"B","C")),"N/D")</x:f>
        <x:v>A</x:v>
      </x:c>
      <x:c r="M9" s="36" t="n">
        <x:v>46227</x:v>
      </x:c>
      <x:c r="N9" s="29" t="str">
        <x:v>Sim</x:v>
      </x:c>
      <x:c r="O9" s="29" t="str">
        <x:v>Sim</x:v>
      </x:c>
      <x:c r="P9" s="29" t="str">
        <x:v>Sim</x:v>
      </x:c>
      <x:c r="Q9" s="29" t="str">
        <x:v>Sim</x:v>
      </x:c>
      <x:c r="R9" s="29" t="str">
        <x:v>A confirmar</x:v>
      </x:c>
      <x:c r="S9" s="29" t="str">
        <x:v>A confirmar</x:v>
      </x:c>
      <x:c r="T9" s="29" t="str">
        <x:v>Pequeno negócio, múltiplos serviços recorrentes, WhatsApp na bio e atividade recente.</x:v>
      </x:c>
      <x:c r="U9" s="29" t="str">
        <x:v>Olá, Lari. Vi que você trabalha com unhas, cílios e sobrancelhas. Essa variedade é ótima comercialmente, mas exige uma organização clara para o público entender rapidamente tudo o que pode agendar. Pensei em uma forma de separar os serviços em três linhas de conteúdo, mantendo uma única identidade. Posso te mostrar?</x:v>
      </x:c>
      <x:c r="V9" s="29" t="str">
        <x:v>https://www.instagram.com/feitasporlari/</x:v>
      </x:c>
      <x:c r="W9" s="29" t="str">
        <x:v>Não contatado</x:v>
      </x:c>
      <x:c r="X9" s="36"/>
      <x:c r="Y9" s="29" t="str">
        <x:v>Validar perfil no Instagram</x:v>
      </x:c>
      <x:c r="Z9" s="36"/>
      <x:c r="AA9" s="38" t="n">
        <x:v>147</x:v>
      </x:c>
      <x:c r="AB9" s="38" t="n">
        <x:f>IF(W9="Fechado",AA9,0)</x:f>
        <x:v>0</x:v>
      </x:c>
      <x:c r="AC9" s="29" t="str"/>
    </x:row>
    <x:row r="10">
      <x:c r="A10" s="34" t="n">
        <x:v>6</x:v>
      </x:c>
      <x:c r="B10" s="29" t="str">
        <x:v>Santo André / ABC</x:v>
      </x:c>
      <x:c r="C10" s="29" t="str">
        <x:v>Muito alta</x:v>
      </x:c>
      <x:c r="D10" s="29" t="str">
        <x:v>@lucimeireestetica</x:v>
      </x:c>
      <x:c r="E10" s="29" t="str">
        <x:v>Lucimeire Estética</x:v>
      </x:c>
      <x:c r="F10" s="29" t="str">
        <x:v>Esteticista</x:v>
      </x:c>
      <x:c r="G10" s="29" t="str">
        <x:v>Estética facial e corporal</x:v>
      </x:c>
      <x:c r="H10" s="29" t="str">
        <x:v>Santo André</x:v>
      </x:c>
      <x:c r="I10" s="29" t="str">
        <x:v>SP</x:v>
      </x:c>
      <x:c r="J10" s="29" t="str">
        <x:v>Sudeste</x:v>
      </x:c>
      <x:c r="K10" s="34" t="n">
        <x:v>9</x:v>
      </x:c>
      <x:c r="L10" s="34" t="str">
        <x:f>IF(ISNUMBER(K10),IF(K10&gt;=9,"A",IF(K10&gt;=7,"B","C")),"N/D")</x:f>
        <x:v>A</x:v>
      </x:c>
      <x:c r="M10" s="36" t="n">
        <x:v>46222</x:v>
      </x:c>
      <x:c r="N10" s="29" t="str">
        <x:v>Sim</x:v>
      </x:c>
      <x:c r="O10" s="29" t="str">
        <x:v>Sim</x:v>
      </x:c>
      <x:c r="P10" s="29" t="str">
        <x:v>Sim</x:v>
      </x:c>
      <x:c r="Q10" s="29" t="str">
        <x:v>Sim</x:v>
      </x:c>
      <x:c r="R10" s="29" t="str">
        <x:v>A confirmar</x:v>
      </x:c>
      <x:c r="S10" s="29" t="str">
        <x:v>A confirmar</x:v>
      </x:c>
      <x:c r="T10" s="29" t="str">
        <x:v>Marca pessoal, contato por WhatsApp, comunicação de vagas e horários e serviços com recorrência.</x:v>
      </x:c>
      <x:c r="U10" s="29" t="str">
        <x:v>Olá, Lucimeire. Vi que você trabalha com estética facial e corporal e mantém a divulgação dos atendimentos. Percebi uma oportunidade de organizar os conteúdos por necessidade da cliente, como pele, relaxamento, medidas e autocuidado, deixando as chamadas para agendamento mais claras. Posso te mostrar uma sugestão?</x:v>
      </x:c>
      <x:c r="V10" s="29" t="str">
        <x:v>https://www.instagram.com/lucimeireestetica/</x:v>
      </x:c>
      <x:c r="W10" s="29" t="str">
        <x:v>Não contatado</x:v>
      </x:c>
      <x:c r="X10" s="36"/>
      <x:c r="Y10" s="29" t="str">
        <x:v>Validar perfil no Instagram</x:v>
      </x:c>
      <x:c r="Z10" s="36"/>
      <x:c r="AA10" s="38" t="n">
        <x:v>147</x:v>
      </x:c>
      <x:c r="AB10" s="38" t="n">
        <x:f>IF(W10="Fechado",AA10,0)</x:f>
        <x:v>0</x:v>
      </x:c>
      <x:c r="AC10" s="29" t="str"/>
    </x:row>
    <x:row r="11">
      <x:c r="A11" s="34" t="n">
        <x:v>7</x:v>
      </x:c>
      <x:c r="B11" s="29" t="str">
        <x:v>Santo André / ABC</x:v>
      </x:c>
      <x:c r="C11" s="29" t="str">
        <x:v>Muito alta</x:v>
      </x:c>
      <x:c r="D11" s="29" t="str">
        <x:v>@milenasoaresnail</x:v>
      </x:c>
      <x:c r="E11" s="29" t="str">
        <x:v>Milena Soares Nail</x:v>
      </x:c>
      <x:c r="F11" s="29" t="str">
        <x:v>Nail designer</x:v>
      </x:c>
      <x:c r="G11" s="29" t="str">
        <x:v>Alongamentos, esmaltação magnética e cursos</x:v>
      </x:c>
      <x:c r="H11" s="29" t="str">
        <x:v>ABC Paulista (confirmar)</x:v>
      </x:c>
      <x:c r="I11" s="29" t="str">
        <x:v>SP</x:v>
      </x:c>
      <x:c r="J11" s="29" t="str">
        <x:v>Sudeste</x:v>
      </x:c>
      <x:c r="K11" s="34" t="n">
        <x:v>9</x:v>
      </x:c>
      <x:c r="L11" s="34" t="str">
        <x:f>IF(ISNUMBER(K11),IF(K11&gt;=9,"A",IF(K11&gt;=7,"B","C")),"N/D")</x:f>
        <x:v>A</x:v>
      </x:c>
      <x:c r="M11" s="36" t="n">
        <x:v>46221</x:v>
      </x:c>
      <x:c r="N11" s="29" t="str">
        <x:v>Sim</x:v>
      </x:c>
      <x:c r="O11" s="29" t="str">
        <x:v>Sim</x:v>
      </x:c>
      <x:c r="P11" s="29" t="str">
        <x:v>Sim</x:v>
      </x:c>
      <x:c r="Q11" s="29" t="str">
        <x:v>Sim</x:v>
      </x:c>
      <x:c r="R11" s="29" t="str">
        <x:v>A confirmar</x:v>
      </x:c>
      <x:c r="S11" s="29" t="str">
        <x:v>A confirmar</x:v>
      </x:c>
      <x:c r="T11" s="29" t="str">
        <x:v>Profissional autônoma, perfil ativo, serviços recorrentes e link da bio direcionado ao WhatsApp.</x:v>
      </x:c>
      <x:c r="U11" s="29" t="str">
        <x:v>Olá, Milena. Vi seus trabalhos com esmaltação magnética e alongamentos. Você já possui bastante material técnico que poderia ser transformado em conteúdos educativos e comerciais. Pensei em uma sequência para equilibrar resultados, orientação, agenda e autoridade profissional. Posso te mostrar?</x:v>
      </x:c>
      <x:c r="V11" s="29" t="str">
        <x:v>https://www.instagram.com/milenasoaresnail/</x:v>
      </x:c>
      <x:c r="W11" s="29" t="str">
        <x:v>Não contatado</x:v>
      </x:c>
      <x:c r="X11" s="36"/>
      <x:c r="Y11" s="29" t="str">
        <x:v>Validar perfil no Instagram</x:v>
      </x:c>
      <x:c r="Z11" s="36"/>
      <x:c r="AA11" s="38" t="n">
        <x:v>147</x:v>
      </x:c>
      <x:c r="AB11" s="38" t="n">
        <x:f>IF(W11="Fechado",AA11,0)</x:f>
        <x:v>0</x:v>
      </x:c>
      <x:c r="AC11" s="29" t="str"/>
    </x:row>
    <x:row r="12">
      <x:c r="A12" s="34" t="n">
        <x:v>8</x:v>
      </x:c>
      <x:c r="B12" s="29" t="str">
        <x:v>Santo André / ABC</x:v>
      </x:c>
      <x:c r="C12" s="29" t="str">
        <x:v>Não priorizar</x:v>
      </x:c>
      <x:c r="D12" s="29" t="str">
        <x:v>@dayanyalmeidaa</x:v>
      </x:c>
      <x:c r="E12" s="29" t="str">
        <x:v>Dayany Almeida</x:v>
      </x:c>
      <x:c r="F12" s="29" t="str">
        <x:v>Nail designer</x:v>
      </x:c>
      <x:c r="G12" s="29" t="str">
        <x:v>Conteúdo de unhas, produtos e influência no segmento</x:v>
      </x:c>
      <x:c r="H12" s="29" t="str">
        <x:v>ABC Paulista (confirmar)</x:v>
      </x:c>
      <x:c r="I12" s="29" t="str">
        <x:v>SP</x:v>
      </x:c>
      <x:c r="J12" s="29" t="str">
        <x:v>Sudeste</x:v>
      </x:c>
      <x:c r="K12" s="34"/>
      <x:c r="L12" s="34" t="str">
        <x:f>IF(ISNUMBER(K12),IF(K12&gt;=9,"A",IF(K12&gt;=7,"B","C")),"N/D")</x:f>
        <x:v>N/D</x:v>
      </x:c>
      <x:c r="M12" s="36"/>
      <x:c r="N12" s="29" t="str">
        <x:v>A confirmar</x:v>
      </x:c>
      <x:c r="O12" s="29" t="str">
        <x:v>Provável</x:v>
      </x:c>
      <x:c r="P12" s="29" t="str">
        <x:v>Sim</x:v>
      </x:c>
      <x:c r="Q12" s="29" t="str">
        <x:v>A confirmar</x:v>
      </x:c>
      <x:c r="R12" s="29" t="str">
        <x:v>A confirmar</x:v>
      </x:c>
      <x:c r="S12" s="29" t="str">
        <x:v>Provavelmente não</x:v>
      </x:c>
      <x:c r="T12" s="29" t="str">
        <x:v>Cerca de 30 mil seguidores, embaixadora de produtos e operação de conteúdo aparentemente madura.</x:v>
      </x:c>
      <x:c r="U12" s="29" t="str">
        <x:v>Abordar apenas futuramente com proposta pontual de campanha ou apoio de produção, e não com o pacote inicial de R$ 147.</x:v>
      </x:c>
      <x:c r="V12" s="29" t="str">
        <x:v>https://www.instagram.com/dayanyalmeidaa/</x:v>
      </x:c>
      <x:c r="W12" s="29" t="str">
        <x:v>Não contatado</x:v>
      </x:c>
      <x:c r="X12" s="36"/>
      <x:c r="Y12" s="29" t="str">
        <x:v>Validar perfil no Instagram</x:v>
      </x:c>
      <x:c r="Z12" s="36"/>
      <x:c r="AA12" s="38" t="n">
        <x:v>147</x:v>
      </x:c>
      <x:c r="AB12" s="38" t="n">
        <x:f>IF(W12="Fechado",AA12,0)</x:f>
        <x:v>0</x:v>
      </x:c>
      <x:c r="AC12" s="29" t="str"/>
    </x:row>
    <x:row r="13">
      <x:c r="A13" s="34" t="n">
        <x:v>9</x:v>
      </x:c>
      <x:c r="B13" s="29" t="str">
        <x:v>Santo André / ABC</x:v>
      </x:c>
      <x:c r="C13" s="29" t="str">
        <x:v>Não priorizar</x:v>
      </x:c>
      <x:c r="D13" s="29" t="str">
        <x:v>@raquelmunhoz_unhas</x:v>
      </x:c>
      <x:c r="E13" s="29" t="str">
        <x:v>Raquel Munhoz Unhas</x:v>
      </x:c>
      <x:c r="F13" s="29" t="str">
        <x:v>Nail designer</x:v>
      </x:c>
      <x:c r="G13" s="29" t="str">
        <x:v>Unhas e formação de nail designers</x:v>
      </x:c>
      <x:c r="H13" s="29" t="str">
        <x:v>ABC Paulista (confirmar)</x:v>
      </x:c>
      <x:c r="I13" s="29" t="str">
        <x:v>SP</x:v>
      </x:c>
      <x:c r="J13" s="29" t="str">
        <x:v>Sudeste</x:v>
      </x:c>
      <x:c r="K13" s="34"/>
      <x:c r="L13" s="34" t="str">
        <x:f>IF(ISNUMBER(K13),IF(K13&gt;=9,"A",IF(K13&gt;=7,"B","C")),"N/D")</x:f>
        <x:v>N/D</x:v>
      </x:c>
      <x:c r="M13" s="36"/>
      <x:c r="N13" s="29" t="str">
        <x:v>A confirmar</x:v>
      </x:c>
      <x:c r="O13" s="29" t="str">
        <x:v>Provável</x:v>
      </x:c>
      <x:c r="P13" s="29" t="str">
        <x:v>Sim</x:v>
      </x:c>
      <x:c r="Q13" s="29" t="str">
        <x:v>A confirmar</x:v>
      </x:c>
      <x:c r="R13" s="29" t="str">
        <x:v>A confirmar</x:v>
      </x:c>
      <x:c r="S13" s="29" t="str">
        <x:v>Provavelmente não</x:v>
      </x:c>
      <x:c r="T13" s="29" t="str">
        <x:v>Mais de 4 mil seguidores, posicionamento como especialista e formadora; maior maturidade comercial.</x:v>
      </x:c>
      <x:c r="U13" s="29" t="str">
        <x:v>Manter para campanhas, lançamentos de cursos ou aumento temporário de produção; baixa aderência ao pacote de entrada.</x:v>
      </x:c>
      <x:c r="V13" s="29" t="str">
        <x:v>https://www.instagram.com/raquelmunhoz_unhas/</x:v>
      </x:c>
      <x:c r="W13" s="29" t="str">
        <x:v>Não contatado</x:v>
      </x:c>
      <x:c r="X13" s="36"/>
      <x:c r="Y13" s="29" t="str">
        <x:v>Validar perfil no Instagram</x:v>
      </x:c>
      <x:c r="Z13" s="36"/>
      <x:c r="AA13" s="38" t="n">
        <x:v>147</x:v>
      </x:c>
      <x:c r="AB13" s="38" t="n">
        <x:f>IF(W13="Fechado",AA13,0)</x:f>
        <x:v>0</x:v>
      </x:c>
      <x:c r="AC13" s="29" t="str"/>
    </x:row>
    <x:row r="14">
      <x:c r="A14" s="34" t="n">
        <x:v>10</x:v>
      </x:c>
      <x:c r="B14" s="29" t="str">
        <x:v>Santo André / ABC</x:v>
      </x:c>
      <x:c r="C14" s="29" t="str">
        <x:v>Segunda lista</x:v>
      </x:c>
      <x:c r="D14" s="29" t="str">
        <x:v>@monicamouradesigner</x:v>
      </x:c>
      <x:c r="E14" s="29" t="str">
        <x:v>Mônica Moura Designer</x:v>
      </x:c>
      <x:c r="F14" s="29" t="str">
        <x:v>Designer de sobrancelhas</x:v>
      </x:c>
      <x:c r="G14" s="29" t="str">
        <x:v>Design de sobrancelhas e estética do olhar</x:v>
      </x:c>
      <x:c r="H14" s="29" t="str">
        <x:v>ABC Paulista (confirmar)</x:v>
      </x:c>
      <x:c r="I14" s="29" t="str">
        <x:v>SP</x:v>
      </x:c>
      <x:c r="J14" s="29" t="str">
        <x:v>Sudeste</x:v>
      </x:c>
      <x:c r="K14" s="34"/>
      <x:c r="L14" s="34" t="str">
        <x:f>IF(ISNUMBER(K14),IF(K14&gt;=9,"A",IF(K14&gt;=7,"B","C")),"N/D")</x:f>
        <x:v>N/D</x:v>
      </x:c>
      <x:c r="M14" s="36" t="n">
        <x:v>46230</x:v>
      </x:c>
      <x:c r="N14" s="29" t="str">
        <x:v>A confirmar</x:v>
      </x:c>
      <x:c r="O14" s="29" t="str">
        <x:v>Provável</x:v>
      </x:c>
      <x:c r="P14" s="29" t="str">
        <x:v>Sim</x:v>
      </x:c>
      <x:c r="Q14" s="29" t="str">
        <x:v>A confirmar</x:v>
      </x:c>
      <x:c r="R14" s="29" t="str">
        <x:v>A confirmar</x:v>
      </x:c>
      <x:c r="S14" s="29" t="str">
        <x:v>A confirmar</x:v>
      </x:c>
      <x:c r="T14" s="29" t="str">
        <x:v>Perfil ativo e posicionamento verbal mais elaborado; necessidade visual deve ser confirmada antes da abordagem.</x:v>
      </x:c>
      <x:c r="U14" s="29" t="str">
        <x:v>Olá, Mônica. Vi que você mantém o perfil ativo e apresenta seus serviços com uma comunicação bem construída. Percebi uma oportunidade de transformar essa linguagem em uma sequência visual ainda mais consistente entre autoridade, resultados e agenda. Posso te mostrar uma ideia?</x:v>
      </x:c>
      <x:c r="V14" s="29" t="str">
        <x:v>https://www.instagram.com/monicamouradesigner/</x:v>
      </x:c>
      <x:c r="W14" s="29" t="str">
        <x:v>Não contatado</x:v>
      </x:c>
      <x:c r="X14" s="36"/>
      <x:c r="Y14" s="29" t="str">
        <x:v>Validar perfil no Instagram</x:v>
      </x:c>
      <x:c r="Z14" s="36"/>
      <x:c r="AA14" s="38" t="n">
        <x:v>147</x:v>
      </x:c>
      <x:c r="AB14" s="38" t="n">
        <x:f>IF(W14="Fechado",AA14,0)</x:f>
        <x:v>0</x:v>
      </x:c>
      <x:c r="AC14" s="29" t="str"/>
    </x:row>
    <x:row r="15">
      <x:c r="A15" s="34" t="n">
        <x:v>11</x:v>
      </x:c>
      <x:c r="B15" s="29" t="str">
        <x:v>Nacional</x:v>
      </x:c>
      <x:c r="C15" s="29" t="str">
        <x:v>Muito alta</x:v>
      </x:c>
      <x:c r="D15" s="29" t="str">
        <x:v>@elisabrandao_concept</x:v>
      </x:c>
      <x:c r="E15" s="29" t="str">
        <x:v>Elisa Brandão Concept</x:v>
      </x:c>
      <x:c r="F15" s="29" t="str">
        <x:v>Lash designer</x:v>
      </x:c>
      <x:c r="G15" s="29" t="str">
        <x:v>Design com henna, sobrancelhas e cílios</x:v>
      </x:c>
      <x:c r="H15" s="29" t="str">
        <x:v>São José</x:v>
      </x:c>
      <x:c r="I15" s="29" t="str">
        <x:v>SC</x:v>
      </x:c>
      <x:c r="J15" s="29" t="str">
        <x:v>Sul</x:v>
      </x:c>
      <x:c r="K15" s="34" t="n">
        <x:v>9</x:v>
      </x:c>
      <x:c r="L15" s="34" t="str">
        <x:f>IF(ISNUMBER(K15),IF(K15&gt;=9,"A",IF(K15&gt;=7,"B","C")),"N/D")</x:f>
        <x:v>A</x:v>
      </x:c>
      <x:c r="M15" s="36" t="n">
        <x:v>46228</x:v>
      </x:c>
      <x:c r="N15" s="29" t="str">
        <x:v>Sim</x:v>
      </x:c>
      <x:c r="O15" s="29" t="str">
        <x:v>Sim</x:v>
      </x:c>
      <x:c r="P15" s="29" t="str">
        <x:v>Sim</x:v>
      </x:c>
      <x:c r="Q15" s="29" t="str">
        <x:v>Sim</x:v>
      </x:c>
      <x:c r="R15" s="29" t="str">
        <x:v>A confirmar</x:v>
      </x:c>
      <x:c r="S15" s="29" t="str">
        <x:v>A confirmar</x:v>
      </x:c>
      <x:c r="T15" s="29" t="str">
        <x:v>Perfil muito pequeno, em nome da própria profissional, publicação recente e chamada para WhatsApp/agendamento.</x:v>
      </x:c>
      <x:c r="U15" s="29" t="str">
        <x:v>Olá, Elisa. Vi o seu conteúdo sobre design com henna e gostei do posicionamento voltado à naturalidade. Percebi que seus resultados poderiam ganhar mais destaque com uma sequência organizada entre transformação, orientação e agendamento. Posso te mostrar uma sugestão rápida?</x:v>
      </x:c>
      <x:c r="V15" s="29" t="str">
        <x:v>https://www.instagram.com/elisabrandao_concept/</x:v>
      </x:c>
      <x:c r="W15" s="29" t="str">
        <x:v>Não contatado</x:v>
      </x:c>
      <x:c r="X15" s="36"/>
      <x:c r="Y15" s="29" t="str">
        <x:v>Validar perfil no Instagram</x:v>
      </x:c>
      <x:c r="Z15" s="36"/>
      <x:c r="AA15" s="38" t="n">
        <x:v>147</x:v>
      </x:c>
      <x:c r="AB15" s="38" t="n">
        <x:f>IF(W15="Fechado",AA15,0)</x:f>
        <x:v>0</x:v>
      </x:c>
      <x:c r="AC15" s="29" t="str"/>
    </x:row>
    <x:row r="16">
      <x:c r="A16" s="34" t="n">
        <x:v>12</x:v>
      </x:c>
      <x:c r="B16" s="29" t="str">
        <x:v>Nacional</x:v>
      </x:c>
      <x:c r="C16" s="29" t="str">
        <x:v>Muito alta</x:v>
      </x:c>
      <x:c r="D16" s="29" t="str">
        <x:v>@isabelly_glam_lash</x:v>
      </x:c>
      <x:c r="E16" s="29" t="str">
        <x:v>Isabelly Glam Lash</x:v>
      </x:c>
      <x:c r="F16" s="29" t="str">
        <x:v>Lash designer</x:v>
      </x:c>
      <x:c r="G16" s="29" t="str">
        <x:v>Cílios e sobrancelhas</x:v>
      </x:c>
      <x:c r="H16" s="29" t="str">
        <x:v>Toledo</x:v>
      </x:c>
      <x:c r="I16" s="29" t="str">
        <x:v>PR</x:v>
      </x:c>
      <x:c r="J16" s="29" t="str">
        <x:v>Sul</x:v>
      </x:c>
      <x:c r="K16" s="34" t="n">
        <x:v>9</x:v>
      </x:c>
      <x:c r="L16" s="34" t="str">
        <x:f>IF(ISNUMBER(K16),IF(K16&gt;=9,"A",IF(K16&gt;=7,"B","C")),"N/D")</x:f>
        <x:v>A</x:v>
      </x:c>
      <x:c r="M16" s="36" t="n">
        <x:v>46229</x:v>
      </x:c>
      <x:c r="N16" s="29" t="str">
        <x:v>Sim</x:v>
      </x:c>
      <x:c r="O16" s="29" t="str">
        <x:v>Sim</x:v>
      </x:c>
      <x:c r="P16" s="29" t="str">
        <x:v>Sim</x:v>
      </x:c>
      <x:c r="Q16" s="29" t="str">
        <x:v>Sim</x:v>
      </x:c>
      <x:c r="R16" s="29" t="str">
        <x:v>A confirmar</x:v>
      </x:c>
      <x:c r="S16" s="29" t="str">
        <x:v>A confirmar</x:v>
      </x:c>
      <x:c r="T16" s="29" t="str">
        <x:v>Perfil pessoal pequeno, antes e depois recente, serviços recorrentes e chamadas para Direct/WhatsApp.</x:v>
      </x:c>
      <x:c r="U16" s="29" t="str">
        <x:v>Olá, Isabelly. Vi o antes e depois que você publicou e gostei bastante do efeito natural. Esse tipo de resultado poderia render uma sequência completa, com transformação, explicação da técnica, manutenção e chamada para agenda. Posso te mostrar como eu organizaria?</x:v>
      </x:c>
      <x:c r="V16" s="29" t="str">
        <x:v>https://www.instagram.com/isabelly_glam_lash/</x:v>
      </x:c>
      <x:c r="W16" s="29" t="str">
        <x:v>Não contatado</x:v>
      </x:c>
      <x:c r="X16" s="36"/>
      <x:c r="Y16" s="29" t="str">
        <x:v>Validar perfil no Instagram</x:v>
      </x:c>
      <x:c r="Z16" s="36"/>
      <x:c r="AA16" s="38" t="n">
        <x:v>147</x:v>
      </x:c>
      <x:c r="AB16" s="38" t="n">
        <x:f>IF(W16="Fechado",AA16,0)</x:f>
        <x:v>0</x:v>
      </x:c>
      <x:c r="AC16" s="29" t="str"/>
    </x:row>
    <x:row r="17">
      <x:c r="A17" s="34" t="n">
        <x:v>13</x:v>
      </x:c>
      <x:c r="B17" s="29" t="str">
        <x:v>Nacional</x:v>
      </x:c>
      <x:c r="C17" s="29" t="str">
        <x:v>Muito alta</x:v>
      </x:c>
      <x:c r="D17" s="29" t="str">
        <x:v>@zanottibeauty</x:v>
      </x:c>
      <x:c r="E17" s="29" t="str">
        <x:v>Zanotti Beauty / Victoria</x:v>
      </x:c>
      <x:c r="F17" s="29" t="str">
        <x:v>Designer de sobrancelhas</x:v>
      </x:c>
      <x:c r="G17" s="29" t="str">
        <x:v>Henna, coloração e epilação</x:v>
      </x:c>
      <x:c r="H17" s="29" t="str">
        <x:v>Belo Horizonte</x:v>
      </x:c>
      <x:c r="I17" s="29" t="str">
        <x:v>MG</x:v>
      </x:c>
      <x:c r="J17" s="29" t="str">
        <x:v>Sudeste</x:v>
      </x:c>
      <x:c r="K17" s="34" t="n">
        <x:v>9</x:v>
      </x:c>
      <x:c r="L17" s="34" t="str">
        <x:f>IF(ISNUMBER(K17),IF(K17&gt;=9,"A",IF(K17&gt;=7,"B","C")),"N/D")</x:f>
        <x:v>A</x:v>
      </x:c>
      <x:c r="M17" s="36" t="n">
        <x:v>46219</x:v>
      </x:c>
      <x:c r="N17" s="29" t="str">
        <x:v>Sim</x:v>
      </x:c>
      <x:c r="O17" s="29" t="str">
        <x:v>Sim</x:v>
      </x:c>
      <x:c r="P17" s="29" t="str">
        <x:v>Sim</x:v>
      </x:c>
      <x:c r="Q17" s="29" t="str">
        <x:v>Sim</x:v>
      </x:c>
      <x:c r="R17" s="29" t="str">
        <x:v>A confirmar</x:v>
      </x:c>
      <x:c r="S17" s="29" t="str">
        <x:v>A confirmar</x:v>
      </x:c>
      <x:c r="T17" s="29" t="str">
        <x:v>Perfil pessoal, porte reduzido, WhatsApp para agendamento e comunicação em primeira pessoa.</x:v>
      </x:c>
      <x:c r="U17" s="29" t="str">
        <x:v>Olá, Victoria. Vi os registros dos seus atendimentos e gostei do foco em naturalidade e precisão. Pensei em uma forma de organizar esses resultados em três tipos de conteúdo: transformação, orientação e agendamento. Posso te mostrar uma ideia?</x:v>
      </x:c>
      <x:c r="V17" s="29" t="str">
        <x:v>https://www.instagram.com/zanottibeauty/</x:v>
      </x:c>
      <x:c r="W17" s="29" t="str">
        <x:v>Não contatado</x:v>
      </x:c>
      <x:c r="X17" s="36"/>
      <x:c r="Y17" s="29" t="str">
        <x:v>Validar perfil no Instagram</x:v>
      </x:c>
      <x:c r="Z17" s="36"/>
      <x:c r="AA17" s="38" t="n">
        <x:v>147</x:v>
      </x:c>
      <x:c r="AB17" s="38" t="n">
        <x:f>IF(W17="Fechado",AA17,0)</x:f>
        <x:v>0</x:v>
      </x:c>
      <x:c r="AC17" s="29" t="str"/>
    </x:row>
    <x:row r="18">
      <x:c r="A18" s="34" t="n">
        <x:v>14</x:v>
      </x:c>
      <x:c r="B18" s="29" t="str">
        <x:v>Nacional</x:v>
      </x:c>
      <x:c r="C18" s="29" t="str">
        <x:v>Muito alta</x:v>
      </x:c>
      <x:c r="D18" s="29" t="str">
        <x:v>@binhamarquespmu</x:v>
      </x:c>
      <x:c r="E18" s="29" t="str">
        <x:v>Binha Marques PMU</x:v>
      </x:c>
      <x:c r="F18" s="29" t="str">
        <x:v>Designer de sobrancelhas</x:v>
      </x:c>
      <x:c r="G18" s="29" t="str">
        <x:v>Cílios, sobrancelhas e micropigmentação</x:v>
      </x:c>
      <x:c r="H18" s="29" t="str">
        <x:v>Brumadinho</x:v>
      </x:c>
      <x:c r="I18" s="29" t="str">
        <x:v>MG</x:v>
      </x:c>
      <x:c r="J18" s="29" t="str">
        <x:v>Sudeste</x:v>
      </x:c>
      <x:c r="K18" s="34" t="n">
        <x:v>9</x:v>
      </x:c>
      <x:c r="L18" s="34" t="str">
        <x:f>IF(ISNUMBER(K18),IF(K18&gt;=9,"A",IF(K18&gt;=7,"B","C")),"N/D")</x:f>
        <x:v>A</x:v>
      </x:c>
      <x:c r="M18" s="36" t="n">
        <x:v>46225</x:v>
      </x:c>
      <x:c r="N18" s="29" t="str">
        <x:v>Sim</x:v>
      </x:c>
      <x:c r="O18" s="29" t="str">
        <x:v>Sim</x:v>
      </x:c>
      <x:c r="P18" s="29" t="str">
        <x:v>Sim</x:v>
      </x:c>
      <x:c r="Q18" s="29" t="str">
        <x:v>Sim</x:v>
      </x:c>
      <x:c r="R18" s="29" t="str">
        <x:v>A confirmar</x:v>
      </x:c>
      <x:c r="S18" s="29" t="str">
        <x:v>A confirmar</x:v>
      </x:c>
      <x:c r="T18" s="29" t="str">
        <x:v>Perfil pessoal, atendimento humanizado, publicação recente e agendamento pelo WhatsApp.</x:v>
      </x:c>
      <x:c r="U18" s="29" t="str">
        <x:v>Olá, Binha. Vi os conteúdos de design com henna e gostei do posicionamento de atendimento humanizado. Percebi uma oportunidade de deixar essa proposta mais visível no perfil, alternando resultados, bastidores, orientação e agenda. Posso te mostrar uma sugestão?</x:v>
      </x:c>
      <x:c r="V18" s="29" t="str">
        <x:v>https://www.instagram.com/binhamarquespmu/</x:v>
      </x:c>
      <x:c r="W18" s="29" t="str">
        <x:v>Não contatado</x:v>
      </x:c>
      <x:c r="X18" s="36"/>
      <x:c r="Y18" s="29" t="str">
        <x:v>Validar perfil no Instagram</x:v>
      </x:c>
      <x:c r="Z18" s="36"/>
      <x:c r="AA18" s="38" t="n">
        <x:v>147</x:v>
      </x:c>
      <x:c r="AB18" s="38" t="n">
        <x:f>IF(W18="Fechado",AA18,0)</x:f>
        <x:v>0</x:v>
      </x:c>
      <x:c r="AC18" s="29" t="str"/>
    </x:row>
    <x:row r="19">
      <x:c r="A19" s="34" t="n">
        <x:v>15</x:v>
      </x:c>
      <x:c r="B19" s="29" t="str">
        <x:v>Nacional</x:v>
      </x:c>
      <x:c r="C19" s="29" t="str">
        <x:v>Muito alta</x:v>
      </x:c>
      <x:c r="D19" s="29" t="str">
        <x:v>@naaaaati_silva</x:v>
      </x:c>
      <x:c r="E19" s="29" t="str">
        <x:v>Natii Silva</x:v>
      </x:c>
      <x:c r="F19" s="29" t="str">
        <x:v>Lash designer</x:v>
      </x:c>
      <x:c r="G19" s="29" t="str">
        <x:v>Cílios e micropigmentação</x:v>
      </x:c>
      <x:c r="H19" s="29" t="str">
        <x:v>Suzano</x:v>
      </x:c>
      <x:c r="I19" s="29" t="str">
        <x:v>SP</x:v>
      </x:c>
      <x:c r="J19" s="29" t="str">
        <x:v>Sudeste</x:v>
      </x:c>
      <x:c r="K19" s="34" t="n">
        <x:v>9</x:v>
      </x:c>
      <x:c r="L19" s="34" t="str">
        <x:f>IF(ISNUMBER(K19),IF(K19&gt;=9,"A",IF(K19&gt;=7,"B","C")),"N/D")</x:f>
        <x:v>A</x:v>
      </x:c>
      <x:c r="M19" s="36" t="n">
        <x:v>46229</x:v>
      </x:c>
      <x:c r="N19" s="29" t="str">
        <x:v>Sim</x:v>
      </x:c>
      <x:c r="O19" s="29" t="str">
        <x:v>Sim</x:v>
      </x:c>
      <x:c r="P19" s="29" t="str">
        <x:v>Sim</x:v>
      </x:c>
      <x:c r="Q19" s="29" t="str">
        <x:v>Sim</x:v>
      </x:c>
      <x:c r="R19" s="29" t="str">
        <x:v>A confirmar</x:v>
      </x:c>
      <x:c r="S19" s="29" t="str">
        <x:v>A confirmar</x:v>
      </x:c>
      <x:c r="T19" s="29" t="str">
        <x:v>Perfil pessoal pequeno, publicação recente de combo e WhatsApp para informações e agendamentos.</x:v>
      </x:c>
      <x:c r="U19" s="29" t="str">
        <x:v>Olá, Natii. Vi o conteúdo sobre o combo de cílios e sobrancelhas e gostei bastante do resultado. Seu perfil tem material para criar uma sequência forte entre transformação, praticidade, cuidados e agendamento. Posso te mostrar uma ideia rápida?</x:v>
      </x:c>
      <x:c r="V19" s="29" t="str">
        <x:v>https://www.instagram.com/naaaaati_silva/</x:v>
      </x:c>
      <x:c r="W19" s="29" t="str">
        <x:v>Não contatado</x:v>
      </x:c>
      <x:c r="X19" s="36"/>
      <x:c r="Y19" s="29" t="str">
        <x:v>Validar perfil no Instagram</x:v>
      </x:c>
      <x:c r="Z19" s="36"/>
      <x:c r="AA19" s="38" t="n">
        <x:v>147</x:v>
      </x:c>
      <x:c r="AB19" s="38" t="n">
        <x:f>IF(W19="Fechado",AA19,0)</x:f>
        <x:v>0</x:v>
      </x:c>
      <x:c r="AC19" s="29" t="str"/>
    </x:row>
    <x:row r="20">
      <x:c r="A20" s="34" t="n">
        <x:v>16</x:v>
      </x:c>
      <x:c r="B20" s="29" t="str">
        <x:v>Nacional</x:v>
      </x:c>
      <x:c r="C20" s="29" t="str">
        <x:v>Muito alta</x:v>
      </x:c>
      <x:c r="D20" s="29" t="str">
        <x:v>@lash.kethlynteixeira</x:v>
      </x:c>
      <x:c r="E20" s="29" t="str">
        <x:v>Kethlyn Teixeira</x:v>
      </x:c>
      <x:c r="F20" s="29" t="str">
        <x:v>Lash designer</x:v>
      </x:c>
      <x:c r="G20" s="29" t="str">
        <x:v>Extensão de cílios e lash lifting</x:v>
      </x:c>
      <x:c r="H20" s="29" t="str">
        <x:v>Guaratiba / Rio de Janeiro</x:v>
      </x:c>
      <x:c r="I20" s="29" t="str">
        <x:v>RJ</x:v>
      </x:c>
      <x:c r="J20" s="29" t="str">
        <x:v>Sudeste</x:v>
      </x:c>
      <x:c r="K20" s="34" t="n">
        <x:v>9</x:v>
      </x:c>
      <x:c r="L20" s="34" t="str">
        <x:f>IF(ISNUMBER(K20),IF(K20&gt;=9,"A",IF(K20&gt;=7,"B","C")),"N/D")</x:f>
        <x:v>A</x:v>
      </x:c>
      <x:c r="M20" s="36" t="n">
        <x:v>46227</x:v>
      </x:c>
      <x:c r="N20" s="29" t="str">
        <x:v>Sim</x:v>
      </x:c>
      <x:c r="O20" s="29" t="str">
        <x:v>Sim</x:v>
      </x:c>
      <x:c r="P20" s="29" t="str">
        <x:v>Sim</x:v>
      </x:c>
      <x:c r="Q20" s="29" t="str">
        <x:v>Sim</x:v>
      </x:c>
      <x:c r="R20" s="29" t="str">
        <x:v>A confirmar</x:v>
      </x:c>
      <x:c r="S20" s="29" t="str">
        <x:v>A confirmar</x:v>
      </x:c>
      <x:c r="T20" s="29" t="str">
        <x:v>Perfil em nome da própria profissional, conteúdo técnico recente e chamada para agendamento pelo WhatsApp.</x:v>
      </x:c>
      <x:c r="U20" s="29" t="str">
        <x:v>Olá, Kethlyn. Vi o conteúdo de Lash Lifting e gostei da forma como você destaca a execução técnica. Pensei em uma sequência que mostraria resultado, benefício, segurança e chamada para agenda sem deixar o perfil excessivamente promocional. Posso te mostrar?</x:v>
      </x:c>
      <x:c r="V20" s="29" t="str">
        <x:v>https://www.instagram.com/lash.kethlynteixeira/</x:v>
      </x:c>
      <x:c r="W20" s="29" t="str">
        <x:v>Não contatado</x:v>
      </x:c>
      <x:c r="X20" s="36"/>
      <x:c r="Y20" s="29" t="str">
        <x:v>Validar perfil no Instagram</x:v>
      </x:c>
      <x:c r="Z20" s="36"/>
      <x:c r="AA20" s="38" t="n">
        <x:v>147</x:v>
      </x:c>
      <x:c r="AB20" s="38" t="n">
        <x:f>IF(W20="Fechado",AA20,0)</x:f>
        <x:v>0</x:v>
      </x:c>
      <x:c r="AC20" s="29" t="str"/>
    </x:row>
    <x:row r="21">
      <x:c r="A21" s="34" t="n">
        <x:v>17</x:v>
      </x:c>
      <x:c r="B21" s="29" t="str">
        <x:v>Nacional</x:v>
      </x:c>
      <x:c r="C21" s="29" t="str">
        <x:v>Alta</x:v>
      </x:c>
      <x:c r="D21" s="29" t="str">
        <x:v>@marciaalmeida.unhas</x:v>
      </x:c>
      <x:c r="E21" s="29" t="str">
        <x:v>Márcia Almeida Unhas</x:v>
      </x:c>
      <x:c r="F21" s="29" t="str">
        <x:v>Nail designer</x:v>
      </x:c>
      <x:c r="G21" s="29" t="str">
        <x:v>Unhas naturais, alongamentos e cursos</x:v>
      </x:c>
      <x:c r="H21" s="29" t="str">
        <x:v>Recife</x:v>
      </x:c>
      <x:c r="I21" s="29" t="str">
        <x:v>PE</x:v>
      </x:c>
      <x:c r="J21" s="29" t="str">
        <x:v>Nordeste</x:v>
      </x:c>
      <x:c r="K21" s="34" t="n">
        <x:v>9</x:v>
      </x:c>
      <x:c r="L21" s="34" t="str">
        <x:f>IF(ISNUMBER(K21),IF(K21&gt;=9,"A",IF(K21&gt;=7,"B","C")),"N/D")</x:f>
        <x:v>A</x:v>
      </x:c>
      <x:c r="M21" s="36" t="n">
        <x:v>46224</x:v>
      </x:c>
      <x:c r="N21" s="29" t="str">
        <x:v>Sim</x:v>
      </x:c>
      <x:c r="O21" s="29" t="str">
        <x:v>Sim</x:v>
      </x:c>
      <x:c r="P21" s="29" t="str">
        <x:v>Sim</x:v>
      </x:c>
      <x:c r="Q21" s="29" t="str">
        <x:v>Sim</x:v>
      </x:c>
      <x:c r="R21" s="29" t="str">
        <x:v>A confirmar</x:v>
      </x:c>
      <x:c r="S21" s="29" t="str">
        <x:v>A confirmar</x:v>
      </x:c>
      <x:c r="T21" s="29" t="str">
        <x:v>Perfil pessoal, serviços recorrentes, atividade recente e agendamento pelo Direct ou WhatsApp.</x:v>
      </x:c>
      <x:c r="U21" s="29" t="str">
        <x:v>Olá, Márcia. Vi seus trabalhos de unhas em gel e o posicionamento como nail designer e educadora. Percebi uma oportunidade de separar melhor os conteúdos para clientes dos conteúdos de cursos, deixando cada chamada mais clara. Posso te mostrar uma sugestão?</x:v>
      </x:c>
      <x:c r="V21" s="29" t="str">
        <x:v>https://www.instagram.com/marciaalmeida.unhas/</x:v>
      </x:c>
      <x:c r="W21" s="29" t="str">
        <x:v>Não contatado</x:v>
      </x:c>
      <x:c r="X21" s="36"/>
      <x:c r="Y21" s="29" t="str">
        <x:v>Validar perfil no Instagram</x:v>
      </x:c>
      <x:c r="Z21" s="36"/>
      <x:c r="AA21" s="38" t="n">
        <x:v>147</x:v>
      </x:c>
      <x:c r="AB21" s="38" t="n">
        <x:f>IF(W21="Fechado",AA21,0)</x:f>
        <x:v>0</x:v>
      </x:c>
      <x:c r="AC21" s="29" t="str"/>
    </x:row>
    <x:row r="22">
      <x:c r="A22" s="34" t="n">
        <x:v>18</x:v>
      </x:c>
      <x:c r="B22" s="29" t="str">
        <x:v>Nacional</x:v>
      </x:c>
      <x:c r="C22" s="29" t="str">
        <x:v>Alta</x:v>
      </x:c>
      <x:c r="D22" s="29" t="str">
        <x:v>@ligiaalvesbeauty</x:v>
      </x:c>
      <x:c r="E22" s="29" t="str">
        <x:v>Lígia Alves Beauty</x:v>
      </x:c>
      <x:c r="F22" s="29" t="str">
        <x:v>Designer de sobrancelhas</x:v>
      </x:c>
      <x:c r="G22" s="29" t="str">
        <x:v>Sobrancelhas, cílios e estética do olhar</x:v>
      </x:c>
      <x:c r="H22" s="29" t="str">
        <x:v>Fortaleza</x:v>
      </x:c>
      <x:c r="I22" s="29" t="str">
        <x:v>CE</x:v>
      </x:c>
      <x:c r="J22" s="29" t="str">
        <x:v>Nordeste</x:v>
      </x:c>
      <x:c r="K22" s="34" t="n">
        <x:v>9</x:v>
      </x:c>
      <x:c r="L22" s="34" t="str">
        <x:f>IF(ISNUMBER(K22),IF(K22&gt;=9,"A",IF(K22&gt;=7,"B","C")),"N/D")</x:f>
        <x:v>A</x:v>
      </x:c>
      <x:c r="M22" s="36" t="n">
        <x:v>46219</x:v>
      </x:c>
      <x:c r="N22" s="29" t="str">
        <x:v>Sim</x:v>
      </x:c>
      <x:c r="O22" s="29" t="str">
        <x:v>Sim</x:v>
      </x:c>
      <x:c r="P22" s="29" t="str">
        <x:v>Sim</x:v>
      </x:c>
      <x:c r="Q22" s="29" t="str">
        <x:v>Sim</x:v>
      </x:c>
      <x:c r="R22" s="29" t="str">
        <x:v>A confirmar</x:v>
      </x:c>
      <x:c r="S22" s="29" t="str">
        <x:v>A confirmar</x:v>
      </x:c>
      <x:c r="T22" s="29" t="str">
        <x:v>Divulgação de combos, promoções e vagas pelo WhatsApp; interesse ativo em captar agendamentos.</x:v>
      </x:c>
      <x:c r="U22" s="29" t="str">
        <x:v>Olá, Lígia. Vi os combos e as condições de boas-vindas que você está divulgando. Uma oportunidade seria organizar essas campanhas para que o perfil não dependa somente de promoções, alternando resultados, benefícios e agenda. Posso te mostrar uma ideia?</x:v>
      </x:c>
      <x:c r="V22" s="29" t="str">
        <x:v>https://www.instagram.com/ligiaalvesbeauty/</x:v>
      </x:c>
      <x:c r="W22" s="29" t="str">
        <x:v>Não contatado</x:v>
      </x:c>
      <x:c r="X22" s="36"/>
      <x:c r="Y22" s="29" t="str">
        <x:v>Validar perfil no Instagram</x:v>
      </x:c>
      <x:c r="Z22" s="36"/>
      <x:c r="AA22" s="38" t="n">
        <x:v>147</x:v>
      </x:c>
      <x:c r="AB22" s="38" t="n">
        <x:f>IF(W22="Fechado",AA22,0)</x:f>
        <x:v>0</x:v>
      </x:c>
      <x:c r="AC22" s="29" t="str"/>
    </x:row>
    <x:row r="23">
      <x:c r="A23" s="34" t="n">
        <x:v>19</x:v>
      </x:c>
      <x:c r="B23" s="29" t="str">
        <x:v>Nacional</x:v>
      </x:c>
      <x:c r="C23" s="29" t="str">
        <x:v>Alta</x:v>
      </x:c>
      <x:c r="D23" s="29" t="str">
        <x:v>@renata_serudo</x:v>
      </x:c>
      <x:c r="E23" s="29" t="str">
        <x:v>Renata Serudo</x:v>
      </x:c>
      <x:c r="F23" s="29" t="str">
        <x:v>Esteticista</x:v>
      </x:c>
      <x:c r="G23" s="29" t="str">
        <x:v>Estética facial e corporal</x:v>
      </x:c>
      <x:c r="H23" s="29" t="str">
        <x:v>Manaus</x:v>
      </x:c>
      <x:c r="I23" s="29" t="str">
        <x:v>AM</x:v>
      </x:c>
      <x:c r="J23" s="29" t="str">
        <x:v>Norte</x:v>
      </x:c>
      <x:c r="K23" s="34" t="n">
        <x:v>9</x:v>
      </x:c>
      <x:c r="L23" s="34" t="str">
        <x:f>IF(ISNUMBER(K23),IF(K23&gt;=9,"A",IF(K23&gt;=7,"B","C")),"N/D")</x:f>
        <x:v>A</x:v>
      </x:c>
      <x:c r="M23" s="36" t="n">
        <x:v>46219</x:v>
      </x:c>
      <x:c r="N23" s="29" t="str">
        <x:v>Sim</x:v>
      </x:c>
      <x:c r="O23" s="29" t="str">
        <x:v>Sim</x:v>
      </x:c>
      <x:c r="P23" s="29" t="str">
        <x:v>Sim</x:v>
      </x:c>
      <x:c r="Q23" s="29" t="str">
        <x:v>Sim</x:v>
      </x:c>
      <x:c r="R23" s="29" t="str">
        <x:v>A confirmar</x:v>
      </x:c>
      <x:c r="S23" s="29" t="str">
        <x:v>A confirmar</x:v>
      </x:c>
      <x:c r="T23" s="29" t="str">
        <x:v>Perfil pessoal, WhatsApp e endereço visíveis, atendimento com hora marcada e serviços recorrentes.</x:v>
      </x:c>
      <x:c r="U23" s="29" t="str">
        <x:v>Olá, Renata. Vi sua proposta de atendimento facial e corporal personalizado. Percebi que seus diferentes protocolos poderiam ser organizados por objetivo da cliente, facilitando a compreensão e o pedido de avaliação. Posso te mostrar uma estrutura?</x:v>
      </x:c>
      <x:c r="V23" s="29" t="str">
        <x:v>https://www.instagram.com/renata_serudo/</x:v>
      </x:c>
      <x:c r="W23" s="29" t="str">
        <x:v>Não contatado</x:v>
      </x:c>
      <x:c r="X23" s="36"/>
      <x:c r="Y23" s="29" t="str">
        <x:v>Validar perfil no Instagram</x:v>
      </x:c>
      <x:c r="Z23" s="36"/>
      <x:c r="AA23" s="38" t="n">
        <x:v>147</x:v>
      </x:c>
      <x:c r="AB23" s="38" t="n">
        <x:f>IF(W23="Fechado",AA23,0)</x:f>
        <x:v>0</x:v>
      </x:c>
      <x:c r="AC23" s="29" t="str"/>
    </x:row>
    <x:row r="24">
      <x:c r="A24" s="34" t="n">
        <x:v>20</x:v>
      </x:c>
      <x:c r="B24" s="29" t="str">
        <x:v>Nacional</x:v>
      </x:c>
      <x:c r="C24" s="29" t="str">
        <x:v>Alta</x:v>
      </x:c>
      <x:c r="D24" s="29" t="str">
        <x:v>@suzanacontini.estetica</x:v>
      </x:c>
      <x:c r="E24" s="29" t="str">
        <x:v>Suzana Contini Estética</x:v>
      </x:c>
      <x:c r="F24" s="29" t="str">
        <x:v>Esteticista</x:v>
      </x:c>
      <x:c r="G24" s="29" t="str">
        <x:v>Procedimentos faciais, corporais e bem-estar</x:v>
      </x:c>
      <x:c r="H24" s="29" t="str">
        <x:v>Paraná (confirmar cidade)</x:v>
      </x:c>
      <x:c r="I24" s="29" t="str">
        <x:v>PR</x:v>
      </x:c>
      <x:c r="J24" s="29" t="str">
        <x:v>Sul</x:v>
      </x:c>
      <x:c r="K24" s="34" t="n">
        <x:v>8</x:v>
      </x:c>
      <x:c r="L24" s="34" t="str">
        <x:f>IF(ISNUMBER(K24),IF(K24&gt;=9,"A",IF(K24&gt;=7,"B","C")),"N/D")</x:f>
        <x:v>B</x:v>
      </x:c>
      <x:c r="M24" s="36" t="n">
        <x:v>46223</x:v>
      </x:c>
      <x:c r="N24" s="29" t="str">
        <x:v>Sim</x:v>
      </x:c>
      <x:c r="O24" s="29" t="str">
        <x:v>Sim</x:v>
      </x:c>
      <x:c r="P24" s="29" t="str">
        <x:v>Sim</x:v>
      </x:c>
      <x:c r="Q24" s="29" t="str">
        <x:v>Sim</x:v>
      </x:c>
      <x:c r="R24" s="29" t="str">
        <x:v>A confirmar</x:v>
      </x:c>
      <x:c r="S24" s="29" t="str">
        <x:v>A confirmar</x:v>
      </x:c>
      <x:c r="T24" s="29" t="str">
        <x:v>Perfil pessoal, telefone DDD 41, WhatsApp para agendamento e variedade de procedimentos. Cidade deve ser confirmada.</x:v>
      </x:c>
      <x:c r="U24" s="29" t="str">
        <x:v>Olá, Suzana. Vi seus conteúdos de estética e bem-estar e percebi que você trabalha com diferentes tipos de atendimento. Pensei em uma forma de organizar os conteúdos por necessidade da cliente, como pele, medidas, relaxamento e autocuidado. Posso te mostrar?</x:v>
      </x:c>
      <x:c r="V24" s="29" t="str">
        <x:v>https://www.instagram.com/suzanacontini.estetica/</x:v>
      </x:c>
      <x:c r="W24" s="29" t="str">
        <x:v>Não contatado</x:v>
      </x:c>
      <x:c r="X24" s="36"/>
      <x:c r="Y24" s="29" t="str">
        <x:v>Validar perfil no Instagram</x:v>
      </x:c>
      <x:c r="Z24" s="36"/>
      <x:c r="AA24" s="38" t="n">
        <x:v>147</x:v>
      </x:c>
      <x:c r="AB24" s="38" t="n">
        <x:f>IF(W24="Fechado",AA24,0)</x:f>
        <x:v>0</x:v>
      </x:c>
      <x:c r="AC24" s="29" t="str"/>
    </x:row>
    <x:row r="25">
      <x:c r="A25" s="34" t="n">
        <x:v>21</x:v>
      </x:c>
      <x:c r="B25" s="29" t="str">
        <x:v>Nacional</x:v>
      </x:c>
      <x:c r="C25" s="29" t="str">
        <x:v>Segunda lista</x:v>
      </x:c>
      <x:c r="D25" s="29" t="str">
        <x:v>@studio.jessycazaylla</x:v>
      </x:c>
      <x:c r="E25" s="29" t="str">
        <x:v>Studio Jessy Cazaylla</x:v>
      </x:c>
      <x:c r="F25" s="29" t="str">
        <x:v>Designer de sobrancelhas</x:v>
      </x:c>
      <x:c r="G25" s="29" t="str">
        <x:v>Estética e micropigmentação</x:v>
      </x:c>
      <x:c r="H25" s="29" t="str">
        <x:v>Brasília</x:v>
      </x:c>
      <x:c r="I25" s="29" t="str">
        <x:v>DF</x:v>
      </x:c>
      <x:c r="J25" s="29" t="str">
        <x:v>Centro-Oeste</x:v>
      </x:c>
      <x:c r="K25" s="34"/>
      <x:c r="L25" s="34" t="str">
        <x:f>IF(ISNUMBER(K25),IF(K25&gt;=9,"A",IF(K25&gt;=7,"B","C")),"N/D")</x:f>
        <x:v>N/D</x:v>
      </x:c>
      <x:c r="M25" s="36"/>
      <x:c r="N25" s="29" t="str">
        <x:v>Sim</x:v>
      </x:c>
      <x:c r="O25" s="29" t="str">
        <x:v>Provável</x:v>
      </x:c>
      <x:c r="P25" s="29" t="str">
        <x:v>Sim</x:v>
      </x:c>
      <x:c r="Q25" s="29" t="str">
        <x:v>A confirmar</x:v>
      </x:c>
      <x:c r="R25" s="29" t="str">
        <x:v>A confirmar</x:v>
      </x:c>
      <x:c r="S25" s="29" t="str">
        <x:v>A confirmar</x:v>
      </x:c>
      <x:c r="T25" s="29" t="str">
        <x:v>Ativa em julho, WhatsApp público, cerca de 4,5 mil seguidores e mais de 300 publicações; maior maturidade.</x:v>
      </x:c>
      <x:c r="U25" s="29" t="str">
        <x:v>Abordar com proposta consultiva de campanha ou apoio pontual, enfatizando organização de serviços e produção em períodos de maior demanda.</x:v>
      </x:c>
      <x:c r="V25" s="29" t="str">
        <x:v>https://www.instagram.com/studio.jessycazaylla/</x:v>
      </x:c>
      <x:c r="W25" s="29" t="str">
        <x:v>Não contatado</x:v>
      </x:c>
      <x:c r="X25" s="36"/>
      <x:c r="Y25" s="29" t="str">
        <x:v>Validar perfil no Instagram</x:v>
      </x:c>
      <x:c r="Z25" s="36"/>
      <x:c r="AA25" s="38" t="n">
        <x:v>147</x:v>
      </x:c>
      <x:c r="AB25" s="38" t="n">
        <x:f>IF(W25="Fechado",AA25,0)</x:f>
        <x:v>0</x:v>
      </x:c>
      <x:c r="AC25" s="29" t="str"/>
    </x:row>
    <x:row r="26">
      <x:c r="A26" s="34" t="n">
        <x:v>22</x:v>
      </x:c>
      <x:c r="B26" s="29" t="str">
        <x:v>Nacional</x:v>
      </x:c>
      <x:c r="C26" s="29" t="str">
        <x:v>Segunda lista</x:v>
      </x:c>
      <x:c r="D26" s="29" t="str">
        <x:v>@studio.andressasantos</x:v>
      </x:c>
      <x:c r="E26" s="29" t="str">
        <x:v>Studio Andressa Santos</x:v>
      </x:c>
      <x:c r="F26" s="29" t="str">
        <x:v>Esteticista</x:v>
      </x:c>
      <x:c r="G26" s="29" t="str">
        <x:v>Estética facial e corporal</x:v>
      </x:c>
      <x:c r="H26" s="29" t="str">
        <x:v>Santos</x:v>
      </x:c>
      <x:c r="I26" s="29" t="str">
        <x:v>SP</x:v>
      </x:c>
      <x:c r="J26" s="29" t="str">
        <x:v>Sudeste</x:v>
      </x:c>
      <x:c r="K26" s="34"/>
      <x:c r="L26" s="34" t="str">
        <x:f>IF(ISNUMBER(K26),IF(K26&gt;=9,"A",IF(K26&gt;=7,"B","C")),"N/D")</x:f>
        <x:v>N/D</x:v>
      </x:c>
      <x:c r="M26" s="36" t="n">
        <x:v>46227</x:v>
      </x:c>
      <x:c r="N26" s="29" t="str">
        <x:v>Sim</x:v>
      </x:c>
      <x:c r="O26" s="29" t="str">
        <x:v>Provável</x:v>
      </x:c>
      <x:c r="P26" s="29" t="str">
        <x:v>Sim</x:v>
      </x:c>
      <x:c r="Q26" s="29" t="str">
        <x:v>A confirmar</x:v>
      </x:c>
      <x:c r="R26" s="29" t="str">
        <x:v>A confirmar</x:v>
      </x:c>
      <x:c r="S26" s="29" t="str">
        <x:v>Provavelmente não</x:v>
      </x:c>
      <x:c r="T26" s="29" t="str">
        <x:v>Perfil ativo, WhatsApp público e cerca de 11,2 mil seguidores; estrutura mais consolidada.</x:v>
      </x:c>
      <x:c r="U26" s="29" t="str">
        <x:v>Abordar futuramente com campanha pontual, roteiros ou aumento temporário de produção, não como primeira prioridade.</x:v>
      </x:c>
      <x:c r="V26" s="29" t="str">
        <x:v>https://www.instagram.com/studio.andressasantos/</x:v>
      </x:c>
      <x:c r="W26" s="29" t="str">
        <x:v>Não contatado</x:v>
      </x:c>
      <x:c r="X26" s="36"/>
      <x:c r="Y26" s="29" t="str">
        <x:v>Validar perfil no Instagram</x:v>
      </x:c>
      <x:c r="Z26" s="36"/>
      <x:c r="AA26" s="38" t="n">
        <x:v>147</x:v>
      </x:c>
      <x:c r="AB26" s="38" t="n">
        <x:f>IF(W26="Fechado",AA26,0)</x:f>
        <x:v>0</x:v>
      </x:c>
      <x:c r="AC26" s="29" t="str"/>
    </x:row>
    <x:row r="27">
      <x:c r="A27" s="34" t="n">
        <x:v>23</x:v>
      </x:c>
      <x:c r="B27" s="29" t="str">
        <x:v>Nacional</x:v>
      </x:c>
      <x:c r="C27" s="29" t="str">
        <x:v>Segunda lista</x:v>
      </x:c>
      <x:c r="D27" s="29" t="str">
        <x:v>@lashnannimonteiro</x:v>
      </x:c>
      <x:c r="E27" s="29" t="str">
        <x:v>Nanni Monteiro</x:v>
      </x:c>
      <x:c r="F27" s="29" t="str">
        <x:v>Lash designer</x:v>
      </x:c>
      <x:c r="G27" s="29" t="str">
        <x:v>Cílios e estética do olhar</x:v>
      </x:c>
      <x:c r="H27" s="29" t="str">
        <x:v>Lauro de Freitas</x:v>
      </x:c>
      <x:c r="I27" s="29" t="str">
        <x:v>BA</x:v>
      </x:c>
      <x:c r="J27" s="29" t="str">
        <x:v>Nordeste</x:v>
      </x:c>
      <x:c r="K27" s="34"/>
      <x:c r="L27" s="34" t="str">
        <x:f>IF(ISNUMBER(K27),IF(K27&gt;=9,"A",IF(K27&gt;=7,"B","C")),"N/D")</x:f>
        <x:v>N/D</x:v>
      </x:c>
      <x:c r="M27" s="36" t="n">
        <x:v>46226</x:v>
      </x:c>
      <x:c r="N27" s="29" t="str">
        <x:v>A confirmar</x:v>
      </x:c>
      <x:c r="O27" s="29" t="str">
        <x:v>Sim</x:v>
      </x:c>
      <x:c r="P27" s="29" t="str">
        <x:v>Sim</x:v>
      </x:c>
      <x:c r="Q27" s="29" t="str">
        <x:v>A confirmar</x:v>
      </x:c>
      <x:c r="R27" s="29" t="str">
        <x:v>A confirmar</x:v>
      </x:c>
      <x:c r="S27" s="29" t="str">
        <x:v>A confirmar</x:v>
      </x:c>
      <x:c r="T27" s="29" t="str">
        <x:v>Perfil pessoal e ativo, forte indicação de gestão pela própria fundadora; WhatsApp precisa ser confirmado.</x:v>
      </x:c>
      <x:c r="U27" s="29" t="str">
        <x:v>Olá, Nanni. Vi que você mantém o perfil ativo e trabalha diretamente com estética do olhar. Percebi uma oportunidade de organizar resultados, cuidados e chamadas para agenda em uma sequência mais consistente. Posso te mostrar uma ideia?</x:v>
      </x:c>
      <x:c r="V27" s="29" t="str">
        <x:v>https://www.instagram.com/lashnannimonteiro/</x:v>
      </x:c>
      <x:c r="W27" s="29" t="str">
        <x:v>Não contatado</x:v>
      </x:c>
      <x:c r="X27" s="36"/>
      <x:c r="Y27" s="29" t="str">
        <x:v>Validar perfil no Instagram</x:v>
      </x:c>
      <x:c r="Z27" s="36"/>
      <x:c r="AA27" s="38" t="n">
        <x:v>147</x:v>
      </x:c>
      <x:c r="AB27" s="38" t="n">
        <x:f>IF(W27="Fechado",AA27,0)</x:f>
        <x:v>0</x:v>
      </x:c>
      <x:c r="AC27" s="29" t="str"/>
    </x:row>
    <x:row r="28">
      <x:c r="A28" s="34" t="n">
        <x:v>24</x:v>
      </x:c>
      <x:c r="B28" s="29" t="str">
        <x:v>Nacional</x:v>
      </x:c>
      <x:c r="C28" s="29" t="str">
        <x:v>Segunda lista</x:v>
      </x:c>
      <x:c r="D28" s="29" t="str">
        <x:v>@lash_sulladejesus</x:v>
      </x:c>
      <x:c r="E28" s="29" t="str">
        <x:v>Sulla de Jesus</x:v>
      </x:c>
      <x:c r="F28" s="29" t="str">
        <x:v>Designer de sobrancelhas</x:v>
      </x:c>
      <x:c r="G28" s="29" t="str">
        <x:v>Design de sobrancelhas e promoções de beleza</x:v>
      </x:c>
      <x:c r="H28" s="29" t="str">
        <x:v>Cabo Frio</x:v>
      </x:c>
      <x:c r="I28" s="29" t="str">
        <x:v>RJ</x:v>
      </x:c>
      <x:c r="J28" s="29" t="str">
        <x:v>Sudeste</x:v>
      </x:c>
      <x:c r="K28" s="34"/>
      <x:c r="L28" s="34" t="str">
        <x:f>IF(ISNUMBER(K28),IF(K28&gt;=9,"A",IF(K28&gt;=7,"B","C")),"N/D")</x:f>
        <x:v>N/D</x:v>
      </x:c>
      <x:c r="M28" s="36" t="n">
        <x:v>46223</x:v>
      </x:c>
      <x:c r="N28" s="29" t="str">
        <x:v>A confirmar</x:v>
      </x:c>
      <x:c r="O28" s="29" t="str">
        <x:v>Sim</x:v>
      </x:c>
      <x:c r="P28" s="29" t="str">
        <x:v>Sim</x:v>
      </x:c>
      <x:c r="Q28" s="29" t="str">
        <x:v>Sim</x:v>
      </x:c>
      <x:c r="R28" s="29" t="str">
        <x:v>A confirmar</x:v>
      </x:c>
      <x:c r="S28" s="29" t="str">
        <x:v>A confirmar</x:v>
      </x:c>
      <x:c r="T28" s="29" t="str">
        <x:v>Perfil pessoal, promoção recente e serviços recorrentes; confirmar WhatsApp antes da abordagem.</x:v>
      </x:c>
      <x:c r="U28" s="29" t="str">
        <x:v>Olá, Sulla. Vi a promoção recente que você publicou. Pensei em uma forma de equilibrar ofertas com resultados, orientação e chamadas para agendamento, para o perfil não depender apenas de promoções. Posso te mostrar?</x:v>
      </x:c>
      <x:c r="V28" s="29" t="str">
        <x:v>https://www.instagram.com/lash_sulladejesus/</x:v>
      </x:c>
      <x:c r="W28" s="29" t="str">
        <x:v>Não contatado</x:v>
      </x:c>
      <x:c r="X28" s="36"/>
      <x:c r="Y28" s="29" t="str">
        <x:v>Validar perfil no Instagram</x:v>
      </x:c>
      <x:c r="Z28" s="36"/>
      <x:c r="AA28" s="38" t="n">
        <x:v>147</x:v>
      </x:c>
      <x:c r="AB28" s="38" t="n">
        <x:f>IF(W28="Fechado",AA28,0)</x:f>
        <x:v>0</x:v>
      </x:c>
      <x:c r="AC28" s="29" t="str"/>
    </x:row>
    <x:row r="29">
      <x:c r="A29" s="34" t="n">
        <x:v>25</x:v>
      </x:c>
      <x:c r="B29" s="29" t="str">
        <x:v>Nacional</x:v>
      </x:c>
      <x:c r="C29" s="29" t="str">
        <x:v>Segunda lista</x:v>
      </x:c>
      <x:c r="D29" s="29" t="str">
        <x:v>@dianapereira.naildesigner</x:v>
      </x:c>
      <x:c r="E29" s="29" t="str">
        <x:v>Diana Pereira Nail Designer</x:v>
      </x:c>
      <x:c r="F29" s="29" t="str">
        <x:v>Nail designer</x:v>
      </x:c>
      <x:c r="G29" s="29" t="str">
        <x:v>Unhas e nail design</x:v>
      </x:c>
      <x:c r="H29" s="29" t="str">
        <x:v>A confirmar</x:v>
      </x:c>
      <x:c r="I29" s="29" t="str">
        <x:v>A confirmar</x:v>
      </x:c>
      <x:c r="J29" s="29" t="str">
        <x:v>A confirmar</x:v>
      </x:c>
      <x:c r="K29" s="34"/>
      <x:c r="L29" s="34" t="str">
        <x:f>IF(ISNUMBER(K29),IF(K29&gt;=9,"A",IF(K29&gt;=7,"B","C")),"N/D")</x:f>
        <x:v>N/D</x:v>
      </x:c>
      <x:c r="M29" s="36" t="n">
        <x:v>46228</x:v>
      </x:c>
      <x:c r="N29" s="29" t="str">
        <x:v>A confirmar</x:v>
      </x:c>
      <x:c r="O29" s="29" t="str">
        <x:v>Sim</x:v>
      </x:c>
      <x:c r="P29" s="29" t="str">
        <x:v>Sim</x:v>
      </x:c>
      <x:c r="Q29" s="29" t="str">
        <x:v>A confirmar</x:v>
      </x:c>
      <x:c r="R29" s="29" t="str">
        <x:v>A confirmar</x:v>
      </x:c>
      <x:c r="S29" s="29" t="str">
        <x:v>A confirmar</x:v>
      </x:c>
      <x:c r="T29" s="29" t="str">
        <x:v>Publicações recentes e baixo engajamento aparente; cidade e WhatsApp precisam ser confirmados.</x:v>
      </x:c>
      <x:c r="U29" s="29" t="str">
        <x:v>Olá, Diana. Vi seus trabalhos recentes de nail design. Os resultados podem render uma sequência forte entre inspiração, cuidados, agenda e manutenção. Posso te mostrar uma forma de organizar esses conteúdos?</x:v>
      </x:c>
      <x:c r="V29" s="29" t="str">
        <x:v>https://www.instagram.com/dianapereira.naildesigner/</x:v>
      </x:c>
      <x:c r="W29" s="29" t="str">
        <x:v>Não contatado</x:v>
      </x:c>
      <x:c r="X29" s="36"/>
      <x:c r="Y29" s="29" t="str">
        <x:v>Validar perfil no Instagram</x:v>
      </x:c>
      <x:c r="Z29" s="36"/>
      <x:c r="AA29" s="38" t="n">
        <x:v>147</x:v>
      </x:c>
      <x:c r="AB29" s="38" t="n">
        <x:f>IF(W29="Fechado",AA29,0)</x:f>
        <x:v>0</x:v>
      </x:c>
      <x:c r="AC29" s="29" t="str"/>
    </x:row>
  </x:sheetData>
  <x:mergeCells>
    <x:mergeCell ref="A1:AC1"/>
    <x:mergeCell ref="A2:AC2"/>
  </x:mergeCells>
  <x:conditionalFormatting sqref="K5:K29">
    <x:cfRule type="colorScale" priority="1">
      <x:colorScale>
        <x:cfvo type="min"/>
        <x:cfvo type="percentile" val="50"/>
        <x:cfvo type="max"/>
        <x:color rgb="FFFCE8E4"/>
        <x:color rgb="FFF4D8A5"/>
        <x:color rgb="FFD8E5D2"/>
      </x:colorScale>
    </x:cfRule>
  </x:conditionalFormatting>
  <x:conditionalFormatting sqref="C5:C29">
    <x:cfRule type="expression" dxfId="0" priority="2">
      <x:formula>C5="Muito alta"</x:formula>
    </x:cfRule>
    <x:cfRule type="expression" dxfId="1" priority="3">
      <x:formula>C5="Alta"</x:formula>
    </x:cfRule>
    <x:cfRule type="expression" dxfId="2" priority="4">
      <x:formula>C5="Segunda lista"</x:formula>
    </x:cfRule>
    <x:cfRule type="expression" dxfId="3" priority="5">
      <x:formula>C5="Não priorizar"</x:formula>
    </x:cfRule>
  </x:conditionalFormatting>
  <x:conditionalFormatting sqref="W5:W29">
    <x:cfRule type="expression" dxfId="4" priority="6">
      <x:formula>W5="Fechado"</x:formula>
    </x:cfRule>
    <x:cfRule type="expression" dxfId="5" priority="7">
      <x:formula>W5="Aguardando pagamento"</x:formula>
    </x:cfRule>
    <x:cfRule type="expression" dxfId="6" priority="8">
      <x:formula>W5="Perdido"</x:formula>
    </x:cfRule>
  </x:conditionalFormatting>
  <x:conditionalFormatting sqref="Z5:Z29">
    <x:cfRule type="expression" dxfId="7" priority="9">
      <x:formula>AND($Z5&lt;TODAY(),$Z5&lt;&gt;"",$W5&lt;&gt;"Fechado",$W5&lt;&gt;"Perdido")</x:formula>
    </x:cfRule>
  </x:conditionalFormatting>
  <x:dataValidations count="2">
    <x:dataValidation type="list" sqref="W5:W200">
      <x:formula1>"Não contatado,Mensagem enviada,Respondeu,Portfólio enviado,Qualificado,Proposta feita,Aguardando pagamento,Fechado,Perdido,Retomar"</x:formula1>
    </x:dataValidation>
    <x:dataValidation type="list" sqref="C5:C200">
      <x:formula1>"Muito alta,Alta,Segunda lista,Não priorizar"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441754a1bc47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5" hidden="0" customWidth="1"/>
    <x:col min="4" max="4" width="22" hidden="0" customWidth="1"/>
    <x:col min="5" max="5" width="28" hidden="0" customWidth="1"/>
    <x:col min="6" max="6" width="22" hidden="0" customWidth="1"/>
    <x:col min="7" max="7" width="34" hidden="0" customWidth="1"/>
    <x:col min="8" max="8" width="23" hidden="0" customWidth="1"/>
    <x:col min="9" max="9" width="8" hidden="0" customWidth="1"/>
    <x:col min="10" max="10" width="15" hidden="0" customWidth="1"/>
    <x:col min="11" max="11" width="12" hidden="0" customWidth="1"/>
    <x:col min="12" max="12" width="9" hidden="0" customWidth="1"/>
    <x:col min="13" max="13" width="14" hidden="0" customWidth="1"/>
    <x:col min="14" max="14" width="12" hidden="0" customWidth="1"/>
    <x:col min="15" max="15" width="16" hidden="0" customWidth="1"/>
    <x:col min="16" max="16" width="16" hidden="0" customWidth="1"/>
    <x:col min="17" max="17" width="13" hidden="0" customWidth="1"/>
    <x:col min="18" max="18" width="13" hidden="0" customWidth="1"/>
    <x:col min="19" max="19" width="18" hidden="0" customWidth="1"/>
    <x:col min="20" max="20" width="42" hidden="0" customWidth="1"/>
    <x:col min="21" max="21" width="55" hidden="0" customWidth="1"/>
    <x:col min="22" max="22" width="35" hidden="0" customWidth="1"/>
    <x:col min="23" max="23" width="20" hidden="0" customWidth="1"/>
    <x:col min="24" max="24" width="14" hidden="0" customWidth="1"/>
    <x:col min="25" max="25" width="28" hidden="0" customWidth="1"/>
    <x:col min="26" max="26" width="15" hidden="0" customWidth="1"/>
    <x:col min="27" max="27" width="15" hidden="0" customWidth="1"/>
    <x:col min="28" max="28" width="16" hidden="0" customWidth="1"/>
    <x:col min="29" max="29" width="34" hidden="0" customWidth="1"/>
  </x:cols>
  <x:sheetData>
    <x:row r="1" ht="34" customHeight="1">
      <x:c r="A1" s="5" t="str">
        <x:v>Pesquisa de leads — Santo André e ABC Paulista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6" customHeight="1">
      <x:c r="A2" s="12" t="str">
        <x:v>Leads locais organizados por prioridade. Confirme cidade, WhatsApp e qualidade visual diretamente no Instagram antes do contato.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</x:row>
    <x:row r="4" ht="38" customHeight="1">
      <x:c r="A4" s="20" t="str">
        <x:v>ID</x:v>
      </x:c>
      <x:c r="B4" s="20" t="str">
        <x:v>Pesquisa</x:v>
      </x:c>
      <x:c r="C4" s="20" t="str">
        <x:v>Recomendação</x:v>
      </x:c>
      <x:c r="D4" s="20" t="str">
        <x:v>Perfil Instagram</x:v>
      </x:c>
      <x:c r="E4" s="20" t="str">
        <x:v>Nome / Negócio</x:v>
      </x:c>
      <x:c r="F4" s="20" t="str">
        <x:v>Segmento principal</x:v>
      </x:c>
      <x:c r="G4" s="20" t="str">
        <x:v>Serviços</x:v>
      </x:c>
      <x:c r="H4" s="20" t="str">
        <x:v>Cidade</x:v>
      </x:c>
      <x:c r="I4" s="20" t="str">
        <x:v>UF</x:v>
      </x:c>
      <x:c r="J4" s="20" t="str">
        <x:v>Região</x:v>
      </x:c>
      <x:c r="K4" s="20" t="str">
        <x:v>Pontuação auditada</x:v>
      </x:c>
      <x:c r="L4" s="20" t="str">
        <x:v>Classe</x:v>
      </x:c>
      <x:c r="M4" s="20" t="str">
        <x:v>Última publicação</x:v>
      </x:c>
      <x:c r="N4" s="20" t="str">
        <x:v>WhatsApp</x:v>
      </x:c>
      <x:c r="O4" s="20" t="str">
        <x:v>Dona/equipe pequena</x:v>
      </x:c>
      <x:c r="P4" s="20" t="str">
        <x:v>Serviços recorrentes</x:v>
      </x:c>
      <x:c r="Q4" s="20" t="str">
        <x:v>Agenda aberta</x:v>
      </x:c>
      <x:c r="R4" s="20" t="str">
        <x:v>Boas fotos</x:v>
      </x:c>
      <x:c r="S4" s="20" t="str">
        <x:v>Artes visualmente fracas</x:v>
      </x:c>
      <x:c r="T4" s="20" t="str">
        <x:v>Evidências / motivo</x:v>
      </x:c>
      <x:c r="U4" s="20" t="str">
        <x:v>Gancho personalizado</x:v>
      </x:c>
      <x:c r="V4" s="20" t="str">
        <x:v>URL Instagram</x:v>
      </x:c>
      <x:c r="W4" s="20" t="str">
        <x:v>Status</x:v>
      </x:c>
      <x:c r="X4" s="20" t="str">
        <x:v>Data 1º contato</x:v>
      </x:c>
      <x:c r="Y4" s="20" t="str">
        <x:v>Próxima ação</x:v>
      </x:c>
      <x:c r="Z4" s="20" t="str">
        <x:v>Data próxima ação</x:v>
      </x:c>
      <x:c r="AA4" s="20" t="str">
        <x:v>Valor do pacote</x:v>
      </x:c>
      <x:c r="AB4" s="20" t="str">
        <x:v>Receita fechada</x:v>
      </x:c>
      <x:c r="AC4" s="20" t="str">
        <x:v>Observações</x:v>
      </x:c>
    </x:row>
    <x:row r="5">
      <x:c r="A5" s="34" t="n">
        <x:v>1</x:v>
      </x:c>
      <x:c r="B5" s="29" t="str">
        <x:v>Santo André / ABC</x:v>
      </x:c>
      <x:c r="C5" s="29" t="str">
        <x:v>Muito alta</x:v>
      </x:c>
      <x:c r="D5" s="29" t="str">
        <x:v>@studioafcilios</x:v>
      </x:c>
      <x:c r="E5" s="29" t="str">
        <x:v>Studio AF Cílios / Amanda Fernanda</x:v>
      </x:c>
      <x:c r="F5" s="29" t="str">
        <x:v>Lash designer</x:v>
      </x:c>
      <x:c r="G5" s="29" t="str">
        <x:v>Extensão de cílios e estética do olhar</x:v>
      </x:c>
      <x:c r="H5" s="29" t="str">
        <x:v>Santo André</x:v>
      </x:c>
      <x:c r="I5" s="29" t="str">
        <x:v>SP</x:v>
      </x:c>
      <x:c r="J5" s="29" t="str">
        <x:v>Sudeste</x:v>
      </x:c>
      <x:c r="K5" s="34" t="n">
        <x:v>9</x:v>
      </x:c>
      <x:c r="L5" s="34" t="str">
        <x:f>IF(ISNUMBER(K5),IF(K5&gt;=9,"A",IF(K5&gt;=7,"B","C")),"N/D")</x:f>
        <x:v>A</x:v>
      </x:c>
      <x:c r="M5" s="36" t="n">
        <x:v>46227</x:v>
      </x:c>
      <x:c r="N5" s="29" t="str">
        <x:v>Sim</x:v>
      </x:c>
      <x:c r="O5" s="29" t="str">
        <x:v>Sim</x:v>
      </x:c>
      <x:c r="P5" s="29" t="str">
        <x:v>Sim</x:v>
      </x:c>
      <x:c r="Q5" s="29" t="str">
        <x:v>Sim</x:v>
      </x:c>
      <x:c r="R5" s="29" t="str">
        <x:v>A confirmar</x:v>
      </x:c>
      <x:c r="S5" s="29" t="str">
        <x:v>A confirmar</x:v>
      </x:c>
      <x:c r="T5" s="29" t="str">
        <x:v>Perfil pessoal, porte pequeno, publicação recente, serviços recorrentes e chamada para agendamento pelo WhatsApp.</x:v>
      </x:c>
      <x:c r="U5" s="29" t="str">
        <x:v>Olá, Amanda. Vi o conteúdo sobre “o poder de um olhar” e gostei da maneira como você apresenta o resultado dos fios. Percebi uma oportunidade de transformar esse tipo de conteúdo em uma sequência mais organizada, com capas, orientação e chamadas para agendamento, mantendo o seu estilo. Posso te mostrar uma sugestão rápida?</x:v>
      </x:c>
      <x:c r="V5" s="29" t="str">
        <x:v>https://www.instagram.com/studioafcilios/</x:v>
      </x:c>
      <x:c r="W5" s="29" t="str">
        <x:v>Não contatado</x:v>
      </x:c>
      <x:c r="X5" s="36"/>
      <x:c r="Y5" s="29" t="str">
        <x:v>Validar perfil no Instagram</x:v>
      </x:c>
      <x:c r="Z5" s="36"/>
      <x:c r="AA5" s="38" t="n">
        <x:v>147</x:v>
      </x:c>
      <x:c r="AB5" s="38" t="n">
        <x:f>IF(W5="Fechado",AA5,0)</x:f>
        <x:v>0</x:v>
      </x:c>
      <x:c r="AC5" s="29" t="str"/>
    </x:row>
    <x:row r="6">
      <x:c r="A6" s="34" t="n">
        <x:v>2</x:v>
      </x:c>
      <x:c r="B6" s="29" t="str">
        <x:v>Santo André / ABC</x:v>
      </x:c>
      <x:c r="C6" s="29" t="str">
        <x:v>Muito alta</x:v>
      </x:c>
      <x:c r="D6" s="29" t="str">
        <x:v>@brunabianco.s</x:v>
      </x:c>
      <x:c r="E6" s="29" t="str">
        <x:v>Bruna Bianco</x:v>
      </x:c>
      <x:c r="F6" s="29" t="str">
        <x:v>Designer de sobrancelhas</x:v>
      </x:c>
      <x:c r="G6" s="29" t="str">
        <x:v>Design personalizado, micropigmentação, brow lamination e lash lifting</x:v>
      </x:c>
      <x:c r="H6" s="29" t="str">
        <x:v>Santo André</x:v>
      </x:c>
      <x:c r="I6" s="29" t="str">
        <x:v>SP</x:v>
      </x:c>
      <x:c r="J6" s="29" t="str">
        <x:v>Sudeste</x:v>
      </x:c>
      <x:c r="K6" s="34" t="n">
        <x:v>9</x:v>
      </x:c>
      <x:c r="L6" s="34" t="str">
        <x:f>IF(ISNUMBER(K6),IF(K6&gt;=9,"A",IF(K6&gt;=7,"B","C")),"N/D")</x:f>
        <x:v>A</x:v>
      </x:c>
      <x:c r="M6" s="36" t="n">
        <x:v>46228</x:v>
      </x:c>
      <x:c r="N6" s="29" t="str">
        <x:v>Sim</x:v>
      </x:c>
      <x:c r="O6" s="29" t="str">
        <x:v>Sim</x:v>
      </x:c>
      <x:c r="P6" s="29" t="str">
        <x:v>Sim</x:v>
      </x:c>
      <x:c r="Q6" s="29" t="str">
        <x:v>Sim</x:v>
      </x:c>
      <x:c r="R6" s="29" t="str">
        <x:v>A confirmar</x:v>
      </x:c>
      <x:c r="S6" s="29" t="str">
        <x:v>A confirmar</x:v>
      </x:c>
      <x:c r="T6" s="29" t="str">
        <x:v>Studio pequeno, administrado pela própria profissional, WhatsApp público, variedade de serviços e atividade recente.</x:v>
      </x:c>
      <x:c r="U6" s="29" t="str">
        <x:v>Olá, Bruna. Vi que você trabalha com design personalizado, micropigmentação, brow lamination e lash lifting. Seus serviços permitem criar uma sequência muito boa de conteúdo educativo, resultados e agenda. Percebi uma oportunidade de organizar esses temas para deixar o perfil mais comercial sem perder a delicadeza da sua comunicação. Posso te mostrar?</x:v>
      </x:c>
      <x:c r="V6" s="29" t="str">
        <x:v>https://www.instagram.com/brunabianco.s/</x:v>
      </x:c>
      <x:c r="W6" s="29" t="str">
        <x:v>Não contatado</x:v>
      </x:c>
      <x:c r="X6" s="36"/>
      <x:c r="Y6" s="29" t="str">
        <x:v>Validar perfil no Instagram</x:v>
      </x:c>
      <x:c r="Z6" s="36"/>
      <x:c r="AA6" s="38" t="n">
        <x:v>147</x:v>
      </x:c>
      <x:c r="AB6" s="38" t="n">
        <x:f>IF(W6="Fechado",AA6,0)</x:f>
        <x:v>0</x:v>
      </x:c>
      <x:c r="AC6" s="29" t="str"/>
    </x:row>
    <x:row r="7">
      <x:c r="A7" s="34" t="n">
        <x:v>3</x:v>
      </x:c>
      <x:c r="B7" s="29" t="str">
        <x:v>Santo André / ABC</x:v>
      </x:c>
      <x:c r="C7" s="29" t="str">
        <x:v>Muito alta</x:v>
      </x:c>
      <x:c r="D7" s="29" t="str">
        <x:v>@emellyvitoria.nail</x:v>
      </x:c>
      <x:c r="E7" s="29" t="str">
        <x:v>Emelly Vitória Nail</x:v>
      </x:c>
      <x:c r="F7" s="29" t="str">
        <x:v>Nail designer</x:v>
      </x:c>
      <x:c r="G7" s="29" t="str">
        <x:v>Alongamento, banho de gel e esmaltação</x:v>
      </x:c>
      <x:c r="H7" s="29" t="str">
        <x:v>ABC Paulista (confirmar)</x:v>
      </x:c>
      <x:c r="I7" s="29" t="str">
        <x:v>SP</x:v>
      </x:c>
      <x:c r="J7" s="29" t="str">
        <x:v>Sudeste</x:v>
      </x:c>
      <x:c r="K7" s="34" t="n">
        <x:v>9</x:v>
      </x:c>
      <x:c r="L7" s="34" t="str">
        <x:f>IF(ISNUMBER(K7),IF(K7&gt;=9,"A",IF(K7&gt;=7,"B","C")),"N/D")</x:f>
        <x:v>A</x:v>
      </x:c>
      <x:c r="M7" s="36" t="n">
        <x:v>46226</x:v>
      </x:c>
      <x:c r="N7" s="29" t="str">
        <x:v>Sim</x:v>
      </x:c>
      <x:c r="O7" s="29" t="str">
        <x:v>Sim</x:v>
      </x:c>
      <x:c r="P7" s="29" t="str">
        <x:v>Sim</x:v>
      </x:c>
      <x:c r="Q7" s="29" t="str">
        <x:v>Sim</x:v>
      </x:c>
      <x:c r="R7" s="29" t="str">
        <x:v>A confirmar</x:v>
      </x:c>
      <x:c r="S7" s="29" t="str">
        <x:v>A confirmar</x:v>
      </x:c>
      <x:c r="T7" s="29" t="str">
        <x:v>Marca pessoal, serviços de alta recorrência, publicação recente e agendamento pelo WhatsApp da bio.</x:v>
      </x:c>
      <x:c r="U7" s="29" t="str">
        <x:v>Olá, Emelly. Vi seus trabalhos de alongamento, banho de gel e esmaltação. Os resultados já fornecem um material muito bom para conteúdo. Percebi que daria para organizar uma semana completa alternando resultados, cuidados, inspirações e horários disponíveis. Posso te mostrar uma ideia?</x:v>
      </x:c>
      <x:c r="V7" s="29" t="str">
        <x:v>https://www.instagram.com/emellyvitoria.nail/</x:v>
      </x:c>
      <x:c r="W7" s="29" t="str">
        <x:v>Não contatado</x:v>
      </x:c>
      <x:c r="X7" s="36"/>
      <x:c r="Y7" s="29" t="str">
        <x:v>Validar perfil no Instagram</x:v>
      </x:c>
      <x:c r="Z7" s="36"/>
      <x:c r="AA7" s="38" t="n">
        <x:v>147</x:v>
      </x:c>
      <x:c r="AB7" s="38" t="n">
        <x:f>IF(W7="Fechado",AA7,0)</x:f>
        <x:v>0</x:v>
      </x:c>
      <x:c r="AC7" s="29" t="str"/>
    </x:row>
    <x:row r="8">
      <x:c r="A8" s="34" t="n">
        <x:v>4</x:v>
      </x:c>
      <x:c r="B8" s="29" t="str">
        <x:v>Santo André / ABC</x:v>
      </x:c>
      <x:c r="C8" s="29" t="str">
        <x:v>Muito alta</x:v>
      </x:c>
      <x:c r="D8" s="29" t="str">
        <x:v>@thalialashdesigner9</x:v>
      </x:c>
      <x:c r="E8" s="29" t="str">
        <x:v>Thalia Caroline</x:v>
      </x:c>
      <x:c r="F8" s="29" t="str">
        <x:v>Lash designer</x:v>
      </x:c>
      <x:c r="G8" s="29" t="str">
        <x:v>Extensão de cílios e atendimentos de beleza</x:v>
      </x:c>
      <x:c r="H8" s="29" t="str">
        <x:v>Santo André</x:v>
      </x:c>
      <x:c r="I8" s="29" t="str">
        <x:v>SP</x:v>
      </x:c>
      <x:c r="J8" s="29" t="str">
        <x:v>Sudeste</x:v>
      </x:c>
      <x:c r="K8" s="34" t="n">
        <x:v>9</x:v>
      </x:c>
      <x:c r="L8" s="34" t="str">
        <x:f>IF(ISNUMBER(K8),IF(K8&gt;=9,"A",IF(K8&gt;=7,"B","C")),"N/D")</x:f>
        <x:v>A</x:v>
      </x:c>
      <x:c r="M8" s="36" t="n">
        <x:v>46226</x:v>
      </x:c>
      <x:c r="N8" s="29" t="str">
        <x:v>Sim</x:v>
      </x:c>
      <x:c r="O8" s="29" t="str">
        <x:v>Sim</x:v>
      </x:c>
      <x:c r="P8" s="29" t="str">
        <x:v>Sim</x:v>
      </x:c>
      <x:c r="Q8" s="29" t="str">
        <x:v>Sim</x:v>
      </x:c>
      <x:c r="R8" s="29" t="str">
        <x:v>A confirmar</x:v>
      </x:c>
      <x:c r="S8" s="29" t="str">
        <x:v>A confirmar</x:v>
      </x:c>
      <x:c r="T8" s="29" t="str">
        <x:v>Perfil pessoal, publicações de agenda, linguagem em primeira pessoa e chamadas para WhatsApp.</x:v>
      </x:c>
      <x:c r="U8" s="29" t="str">
        <x:v>Olá, Thalia. Vi que você está divulgando seus horários e mostrando resultados dos atendimentos. Uma oportunidade seria padronizar as capas e alternar agenda, resultado, técnica e cuidados pós-procedimento. Isso deixaria o perfil mais organizado sem mudar sua forma de trabalhar. Posso te mostrar uma sugestão?</x:v>
      </x:c>
      <x:c r="V8" s="29" t="str">
        <x:v>https://www.instagram.com/thalialashdesigner9/</x:v>
      </x:c>
      <x:c r="W8" s="29" t="str">
        <x:v>Não contatado</x:v>
      </x:c>
      <x:c r="X8" s="36"/>
      <x:c r="Y8" s="29" t="str">
        <x:v>Validar perfil no Instagram</x:v>
      </x:c>
      <x:c r="Z8" s="36"/>
      <x:c r="AA8" s="38" t="n">
        <x:v>147</x:v>
      </x:c>
      <x:c r="AB8" s="38" t="n">
        <x:f>IF(W8="Fechado",AA8,0)</x:f>
        <x:v>0</x:v>
      </x:c>
      <x:c r="AC8" s="29" t="str"/>
    </x:row>
    <x:row r="9">
      <x:c r="A9" s="34" t="n">
        <x:v>5</x:v>
      </x:c>
      <x:c r="B9" s="29" t="str">
        <x:v>Santo André / ABC</x:v>
      </x:c>
      <x:c r="C9" s="29" t="str">
        <x:v>Muito alta</x:v>
      </x:c>
      <x:c r="D9" s="29" t="str">
        <x:v>@feitasporlari</x:v>
      </x:c>
      <x:c r="E9" s="29" t="str">
        <x:v>Feitas por Lari</x:v>
      </x:c>
      <x:c r="F9" s="29" t="str">
        <x:v>Nail designer</x:v>
      </x:c>
      <x:c r="G9" s="29" t="str">
        <x:v>Unhas, cílios e sobrancelhas</x:v>
      </x:c>
      <x:c r="H9" s="29" t="str">
        <x:v>Santo André</x:v>
      </x:c>
      <x:c r="I9" s="29" t="str">
        <x:v>SP</x:v>
      </x:c>
      <x:c r="J9" s="29" t="str">
        <x:v>Sudeste</x:v>
      </x:c>
      <x:c r="K9" s="34" t="n">
        <x:v>9</x:v>
      </x:c>
      <x:c r="L9" s="34" t="str">
        <x:f>IF(ISNUMBER(K9),IF(K9&gt;=9,"A",IF(K9&gt;=7,"B","C")),"N/D")</x:f>
        <x:v>A</x:v>
      </x:c>
      <x:c r="M9" s="36" t="n">
        <x:v>46227</x:v>
      </x:c>
      <x:c r="N9" s="29" t="str">
        <x:v>Sim</x:v>
      </x:c>
      <x:c r="O9" s="29" t="str">
        <x:v>Sim</x:v>
      </x:c>
      <x:c r="P9" s="29" t="str">
        <x:v>Sim</x:v>
      </x:c>
      <x:c r="Q9" s="29" t="str">
        <x:v>Sim</x:v>
      </x:c>
      <x:c r="R9" s="29" t="str">
        <x:v>A confirmar</x:v>
      </x:c>
      <x:c r="S9" s="29" t="str">
        <x:v>A confirmar</x:v>
      </x:c>
      <x:c r="T9" s="29" t="str">
        <x:v>Pequeno negócio, múltiplos serviços recorrentes, WhatsApp na bio e atividade recente.</x:v>
      </x:c>
      <x:c r="U9" s="29" t="str">
        <x:v>Olá, Lari. Vi que você trabalha com unhas, cílios e sobrancelhas. Essa variedade é ótima comercialmente, mas exige uma organização clara para o público entender rapidamente tudo o que pode agendar. Pensei em uma forma de separar os serviços em três linhas de conteúdo, mantendo uma única identidade. Posso te mostrar?</x:v>
      </x:c>
      <x:c r="V9" s="29" t="str">
        <x:v>https://www.instagram.com/feitasporlari/</x:v>
      </x:c>
      <x:c r="W9" s="29" t="str">
        <x:v>Não contatado</x:v>
      </x:c>
      <x:c r="X9" s="36"/>
      <x:c r="Y9" s="29" t="str">
        <x:v>Validar perfil no Instagram</x:v>
      </x:c>
      <x:c r="Z9" s="36"/>
      <x:c r="AA9" s="38" t="n">
        <x:v>147</x:v>
      </x:c>
      <x:c r="AB9" s="38" t="n">
        <x:f>IF(W9="Fechado",AA9,0)</x:f>
        <x:v>0</x:v>
      </x:c>
      <x:c r="AC9" s="29" t="str"/>
    </x:row>
    <x:row r="10">
      <x:c r="A10" s="34" t="n">
        <x:v>6</x:v>
      </x:c>
      <x:c r="B10" s="29" t="str">
        <x:v>Santo André / ABC</x:v>
      </x:c>
      <x:c r="C10" s="29" t="str">
        <x:v>Muito alta</x:v>
      </x:c>
      <x:c r="D10" s="29" t="str">
        <x:v>@lucimeireestetica</x:v>
      </x:c>
      <x:c r="E10" s="29" t="str">
        <x:v>Lucimeire Estética</x:v>
      </x:c>
      <x:c r="F10" s="29" t="str">
        <x:v>Esteticista</x:v>
      </x:c>
      <x:c r="G10" s="29" t="str">
        <x:v>Estética facial e corporal</x:v>
      </x:c>
      <x:c r="H10" s="29" t="str">
        <x:v>Santo André</x:v>
      </x:c>
      <x:c r="I10" s="29" t="str">
        <x:v>SP</x:v>
      </x:c>
      <x:c r="J10" s="29" t="str">
        <x:v>Sudeste</x:v>
      </x:c>
      <x:c r="K10" s="34" t="n">
        <x:v>9</x:v>
      </x:c>
      <x:c r="L10" s="34" t="str">
        <x:f>IF(ISNUMBER(K10),IF(K10&gt;=9,"A",IF(K10&gt;=7,"B","C")),"N/D")</x:f>
        <x:v>A</x:v>
      </x:c>
      <x:c r="M10" s="36" t="n">
        <x:v>46222</x:v>
      </x:c>
      <x:c r="N10" s="29" t="str">
        <x:v>Sim</x:v>
      </x:c>
      <x:c r="O10" s="29" t="str">
        <x:v>Sim</x:v>
      </x:c>
      <x:c r="P10" s="29" t="str">
        <x:v>Sim</x:v>
      </x:c>
      <x:c r="Q10" s="29" t="str">
        <x:v>Sim</x:v>
      </x:c>
      <x:c r="R10" s="29" t="str">
        <x:v>A confirmar</x:v>
      </x:c>
      <x:c r="S10" s="29" t="str">
        <x:v>A confirmar</x:v>
      </x:c>
      <x:c r="T10" s="29" t="str">
        <x:v>Marca pessoal, contato por WhatsApp, comunicação de vagas e horários e serviços com recorrência.</x:v>
      </x:c>
      <x:c r="U10" s="29" t="str">
        <x:v>Olá, Lucimeire. Vi que você trabalha com estética facial e corporal e mantém a divulgação dos atendimentos. Percebi uma oportunidade de organizar os conteúdos por necessidade da cliente, como pele, relaxamento, medidas e autocuidado, deixando as chamadas para agendamento mais claras. Posso te mostrar uma sugestão?</x:v>
      </x:c>
      <x:c r="V10" s="29" t="str">
        <x:v>https://www.instagram.com/lucimeireestetica/</x:v>
      </x:c>
      <x:c r="W10" s="29" t="str">
        <x:v>Não contatado</x:v>
      </x:c>
      <x:c r="X10" s="36"/>
      <x:c r="Y10" s="29" t="str">
        <x:v>Validar perfil no Instagram</x:v>
      </x:c>
      <x:c r="Z10" s="36"/>
      <x:c r="AA10" s="38" t="n">
        <x:v>147</x:v>
      </x:c>
      <x:c r="AB10" s="38" t="n">
        <x:f>IF(W10="Fechado",AA10,0)</x:f>
        <x:v>0</x:v>
      </x:c>
      <x:c r="AC10" s="29" t="str"/>
    </x:row>
    <x:row r="11">
      <x:c r="A11" s="34" t="n">
        <x:v>7</x:v>
      </x:c>
      <x:c r="B11" s="29" t="str">
        <x:v>Santo André / ABC</x:v>
      </x:c>
      <x:c r="C11" s="29" t="str">
        <x:v>Muito alta</x:v>
      </x:c>
      <x:c r="D11" s="29" t="str">
        <x:v>@milenasoaresnail</x:v>
      </x:c>
      <x:c r="E11" s="29" t="str">
        <x:v>Milena Soares Nail</x:v>
      </x:c>
      <x:c r="F11" s="29" t="str">
        <x:v>Nail designer</x:v>
      </x:c>
      <x:c r="G11" s="29" t="str">
        <x:v>Alongamentos, esmaltação magnética e cursos</x:v>
      </x:c>
      <x:c r="H11" s="29" t="str">
        <x:v>ABC Paulista (confirmar)</x:v>
      </x:c>
      <x:c r="I11" s="29" t="str">
        <x:v>SP</x:v>
      </x:c>
      <x:c r="J11" s="29" t="str">
        <x:v>Sudeste</x:v>
      </x:c>
      <x:c r="K11" s="34" t="n">
        <x:v>9</x:v>
      </x:c>
      <x:c r="L11" s="34" t="str">
        <x:f>IF(ISNUMBER(K11),IF(K11&gt;=9,"A",IF(K11&gt;=7,"B","C")),"N/D")</x:f>
        <x:v>A</x:v>
      </x:c>
      <x:c r="M11" s="36" t="n">
        <x:v>46221</x:v>
      </x:c>
      <x:c r="N11" s="29" t="str">
        <x:v>Sim</x:v>
      </x:c>
      <x:c r="O11" s="29" t="str">
        <x:v>Sim</x:v>
      </x:c>
      <x:c r="P11" s="29" t="str">
        <x:v>Sim</x:v>
      </x:c>
      <x:c r="Q11" s="29" t="str">
        <x:v>Sim</x:v>
      </x:c>
      <x:c r="R11" s="29" t="str">
        <x:v>A confirmar</x:v>
      </x:c>
      <x:c r="S11" s="29" t="str">
        <x:v>A confirmar</x:v>
      </x:c>
      <x:c r="T11" s="29" t="str">
        <x:v>Profissional autônoma, perfil ativo, serviços recorrentes e link da bio direcionado ao WhatsApp.</x:v>
      </x:c>
      <x:c r="U11" s="29" t="str">
        <x:v>Olá, Milena. Vi seus trabalhos com esmaltação magnética e alongamentos. Você já possui bastante material técnico que poderia ser transformado em conteúdos educativos e comerciais. Pensei em uma sequência para equilibrar resultados, orientação, agenda e autoridade profissional. Posso te mostrar?</x:v>
      </x:c>
      <x:c r="V11" s="29" t="str">
        <x:v>https://www.instagram.com/milenasoaresnail/</x:v>
      </x:c>
      <x:c r="W11" s="29" t="str">
        <x:v>Não contatado</x:v>
      </x:c>
      <x:c r="X11" s="36"/>
      <x:c r="Y11" s="29" t="str">
        <x:v>Validar perfil no Instagram</x:v>
      </x:c>
      <x:c r="Z11" s="36"/>
      <x:c r="AA11" s="38" t="n">
        <x:v>147</x:v>
      </x:c>
      <x:c r="AB11" s="38" t="n">
        <x:f>IF(W11="Fechado",AA11,0)</x:f>
        <x:v>0</x:v>
      </x:c>
      <x:c r="AC11" s="29" t="str"/>
    </x:row>
    <x:row r="12">
      <x:c r="A12" s="34" t="n">
        <x:v>8</x:v>
      </x:c>
      <x:c r="B12" s="29" t="str">
        <x:v>Santo André / ABC</x:v>
      </x:c>
      <x:c r="C12" s="29" t="str">
        <x:v>Não priorizar</x:v>
      </x:c>
      <x:c r="D12" s="29" t="str">
        <x:v>@dayanyalmeidaa</x:v>
      </x:c>
      <x:c r="E12" s="29" t="str">
        <x:v>Dayany Almeida</x:v>
      </x:c>
      <x:c r="F12" s="29" t="str">
        <x:v>Nail designer</x:v>
      </x:c>
      <x:c r="G12" s="29" t="str">
        <x:v>Conteúdo de unhas, produtos e influência no segmento</x:v>
      </x:c>
      <x:c r="H12" s="29" t="str">
        <x:v>ABC Paulista (confirmar)</x:v>
      </x:c>
      <x:c r="I12" s="29" t="str">
        <x:v>SP</x:v>
      </x:c>
      <x:c r="J12" s="29" t="str">
        <x:v>Sudeste</x:v>
      </x:c>
      <x:c r="K12" s="34"/>
      <x:c r="L12" s="34" t="str">
        <x:f>IF(ISNUMBER(K12),IF(K12&gt;=9,"A",IF(K12&gt;=7,"B","C")),"N/D")</x:f>
        <x:v>N/D</x:v>
      </x:c>
      <x:c r="M12" s="36"/>
      <x:c r="N12" s="29" t="str">
        <x:v>A confirmar</x:v>
      </x:c>
      <x:c r="O12" s="29" t="str">
        <x:v>Provável</x:v>
      </x:c>
      <x:c r="P12" s="29" t="str">
        <x:v>Sim</x:v>
      </x:c>
      <x:c r="Q12" s="29" t="str">
        <x:v>A confirmar</x:v>
      </x:c>
      <x:c r="R12" s="29" t="str">
        <x:v>A confirmar</x:v>
      </x:c>
      <x:c r="S12" s="29" t="str">
        <x:v>Provavelmente não</x:v>
      </x:c>
      <x:c r="T12" s="29" t="str">
        <x:v>Cerca de 30 mil seguidores, embaixadora de produtos e operação de conteúdo aparentemente madura.</x:v>
      </x:c>
      <x:c r="U12" s="29" t="str">
        <x:v>Abordar apenas futuramente com proposta pontual de campanha ou apoio de produção, e não com o pacote inicial de R$ 147.</x:v>
      </x:c>
      <x:c r="V12" s="29" t="str">
        <x:v>https://www.instagram.com/dayanyalmeidaa/</x:v>
      </x:c>
      <x:c r="W12" s="29" t="str">
        <x:v>Não contatado</x:v>
      </x:c>
      <x:c r="X12" s="36"/>
      <x:c r="Y12" s="29" t="str">
        <x:v>Validar perfil no Instagram</x:v>
      </x:c>
      <x:c r="Z12" s="36"/>
      <x:c r="AA12" s="38" t="n">
        <x:v>147</x:v>
      </x:c>
      <x:c r="AB12" s="38" t="n">
        <x:f>IF(W12="Fechado",AA12,0)</x:f>
        <x:v>0</x:v>
      </x:c>
      <x:c r="AC12" s="29" t="str"/>
    </x:row>
    <x:row r="13">
      <x:c r="A13" s="34" t="n">
        <x:v>9</x:v>
      </x:c>
      <x:c r="B13" s="29" t="str">
        <x:v>Santo André / ABC</x:v>
      </x:c>
      <x:c r="C13" s="29" t="str">
        <x:v>Não priorizar</x:v>
      </x:c>
      <x:c r="D13" s="29" t="str">
        <x:v>@raquelmunhoz_unhas</x:v>
      </x:c>
      <x:c r="E13" s="29" t="str">
        <x:v>Raquel Munhoz Unhas</x:v>
      </x:c>
      <x:c r="F13" s="29" t="str">
        <x:v>Nail designer</x:v>
      </x:c>
      <x:c r="G13" s="29" t="str">
        <x:v>Unhas e formação de nail designers</x:v>
      </x:c>
      <x:c r="H13" s="29" t="str">
        <x:v>ABC Paulista (confirmar)</x:v>
      </x:c>
      <x:c r="I13" s="29" t="str">
        <x:v>SP</x:v>
      </x:c>
      <x:c r="J13" s="29" t="str">
        <x:v>Sudeste</x:v>
      </x:c>
      <x:c r="K13" s="34"/>
      <x:c r="L13" s="34" t="str">
        <x:f>IF(ISNUMBER(K13),IF(K13&gt;=9,"A",IF(K13&gt;=7,"B","C")),"N/D")</x:f>
        <x:v>N/D</x:v>
      </x:c>
      <x:c r="M13" s="36"/>
      <x:c r="N13" s="29" t="str">
        <x:v>A confirmar</x:v>
      </x:c>
      <x:c r="O13" s="29" t="str">
        <x:v>Provável</x:v>
      </x:c>
      <x:c r="P13" s="29" t="str">
        <x:v>Sim</x:v>
      </x:c>
      <x:c r="Q13" s="29" t="str">
        <x:v>A confirmar</x:v>
      </x:c>
      <x:c r="R13" s="29" t="str">
        <x:v>A confirmar</x:v>
      </x:c>
      <x:c r="S13" s="29" t="str">
        <x:v>Provavelmente não</x:v>
      </x:c>
      <x:c r="T13" s="29" t="str">
        <x:v>Mais de 4 mil seguidores, posicionamento como especialista e formadora; maior maturidade comercial.</x:v>
      </x:c>
      <x:c r="U13" s="29" t="str">
        <x:v>Manter para campanhas, lançamentos de cursos ou aumento temporário de produção; baixa aderência ao pacote de entrada.</x:v>
      </x:c>
      <x:c r="V13" s="29" t="str">
        <x:v>https://www.instagram.com/raquelmunhoz_unhas/</x:v>
      </x:c>
      <x:c r="W13" s="29" t="str">
        <x:v>Não contatado</x:v>
      </x:c>
      <x:c r="X13" s="36"/>
      <x:c r="Y13" s="29" t="str">
        <x:v>Validar perfil no Instagram</x:v>
      </x:c>
      <x:c r="Z13" s="36"/>
      <x:c r="AA13" s="38" t="n">
        <x:v>147</x:v>
      </x:c>
      <x:c r="AB13" s="38" t="n">
        <x:f>IF(W13="Fechado",AA13,0)</x:f>
        <x:v>0</x:v>
      </x:c>
      <x:c r="AC13" s="29" t="str"/>
    </x:row>
    <x:row r="14">
      <x:c r="A14" s="34" t="n">
        <x:v>10</x:v>
      </x:c>
      <x:c r="B14" s="29" t="str">
        <x:v>Santo André / ABC</x:v>
      </x:c>
      <x:c r="C14" s="29" t="str">
        <x:v>Segunda lista</x:v>
      </x:c>
      <x:c r="D14" s="29" t="str">
        <x:v>@monicamouradesigner</x:v>
      </x:c>
      <x:c r="E14" s="29" t="str">
        <x:v>Mônica Moura Designer</x:v>
      </x:c>
      <x:c r="F14" s="29" t="str">
        <x:v>Designer de sobrancelhas</x:v>
      </x:c>
      <x:c r="G14" s="29" t="str">
        <x:v>Design de sobrancelhas e estética do olhar</x:v>
      </x:c>
      <x:c r="H14" s="29" t="str">
        <x:v>ABC Paulista (confirmar)</x:v>
      </x:c>
      <x:c r="I14" s="29" t="str">
        <x:v>SP</x:v>
      </x:c>
      <x:c r="J14" s="29" t="str">
        <x:v>Sudeste</x:v>
      </x:c>
      <x:c r="K14" s="34"/>
      <x:c r="L14" s="34" t="str">
        <x:f>IF(ISNUMBER(K14),IF(K14&gt;=9,"A",IF(K14&gt;=7,"B","C")),"N/D")</x:f>
        <x:v>N/D</x:v>
      </x:c>
      <x:c r="M14" s="36" t="n">
        <x:v>46230</x:v>
      </x:c>
      <x:c r="N14" s="29" t="str">
        <x:v>A confirmar</x:v>
      </x:c>
      <x:c r="O14" s="29" t="str">
        <x:v>Provável</x:v>
      </x:c>
      <x:c r="P14" s="29" t="str">
        <x:v>Sim</x:v>
      </x:c>
      <x:c r="Q14" s="29" t="str">
        <x:v>A confirmar</x:v>
      </x:c>
      <x:c r="R14" s="29" t="str">
        <x:v>A confirmar</x:v>
      </x:c>
      <x:c r="S14" s="29" t="str">
        <x:v>A confirmar</x:v>
      </x:c>
      <x:c r="T14" s="29" t="str">
        <x:v>Perfil ativo e posicionamento verbal mais elaborado; necessidade visual deve ser confirmada antes da abordagem.</x:v>
      </x:c>
      <x:c r="U14" s="29" t="str">
        <x:v>Olá, Mônica. Vi que você mantém o perfil ativo e apresenta seus serviços com uma comunicação bem construída. Percebi uma oportunidade de transformar essa linguagem em uma sequência visual ainda mais consistente entre autoridade, resultados e agenda. Posso te mostrar uma ideia?</x:v>
      </x:c>
      <x:c r="V14" s="29" t="str">
        <x:v>https://www.instagram.com/monicamouradesigner/</x:v>
      </x:c>
      <x:c r="W14" s="29" t="str">
        <x:v>Não contatado</x:v>
      </x:c>
      <x:c r="X14" s="36"/>
      <x:c r="Y14" s="29" t="str">
        <x:v>Validar perfil no Instagram</x:v>
      </x:c>
      <x:c r="Z14" s="36"/>
      <x:c r="AA14" s="38" t="n">
        <x:v>147</x:v>
      </x:c>
      <x:c r="AB14" s="38" t="n">
        <x:f>IF(W14="Fechado",AA14,0)</x:f>
        <x:v>0</x:v>
      </x:c>
      <x:c r="AC14" s="29" t="str"/>
    </x:row>
  </x:sheetData>
  <x:mergeCells>
    <x:mergeCell ref="A1:AC1"/>
    <x:mergeCell ref="A2:AC2"/>
  </x:mergeCells>
  <x:conditionalFormatting sqref="K5:K14">
    <x:cfRule type="colorScale" priority="1">
      <x:colorScale>
        <x:cfvo type="min"/>
        <x:cfvo type="percentile" val="50"/>
        <x:cfvo type="max"/>
        <x:color rgb="FFFCE8E4"/>
        <x:color rgb="FFF4D8A5"/>
        <x:color rgb="FFD8E5D2"/>
      </x:colorScale>
    </x:cfRule>
  </x:conditionalFormatting>
  <x:conditionalFormatting sqref="C5:C14">
    <x:cfRule type="expression" dxfId="8" priority="2">
      <x:formula>C5="Muito alta"</x:formula>
    </x:cfRule>
    <x:cfRule type="expression" dxfId="9" priority="3">
      <x:formula>C5="Alta"</x:formula>
    </x:cfRule>
    <x:cfRule type="expression" dxfId="10" priority="4">
      <x:formula>C5="Segunda lista"</x:formula>
    </x:cfRule>
    <x:cfRule type="expression" dxfId="11" priority="5">
      <x:formula>C5="Não priorizar"</x:formula>
    </x:cfRule>
  </x:conditionalFormatting>
  <x:conditionalFormatting sqref="W5:W14">
    <x:cfRule type="expression" dxfId="12" priority="6">
      <x:formula>W5="Fechado"</x:formula>
    </x:cfRule>
    <x:cfRule type="expression" dxfId="13" priority="7">
      <x:formula>W5="Aguardando pagamento"</x:formula>
    </x:cfRule>
    <x:cfRule type="expression" dxfId="14" priority="8">
      <x:formula>W5="Perdido"</x:formula>
    </x:cfRule>
  </x:conditionalFormatting>
  <x:conditionalFormatting sqref="Z5:Z14">
    <x:cfRule type="expression" dxfId="15" priority="9">
      <x:formula>AND($Z5&lt;TODAY(),$Z5&lt;&gt;"",$W5&lt;&gt;"Fechado",$W5&lt;&gt;"Perdido")</x:formula>
    </x:cfRule>
  </x:conditionalFormatting>
  <x:dataValidations count="2">
    <x:dataValidation type="list" sqref="W5:W200">
      <x:formula1>"Não contatado,Mensagem enviada,Respondeu,Portfólio enviado,Qualificado,Proposta feita,Aguardando pagamento,Fechado,Perdido,Retomar"</x:formula1>
    </x:dataValidation>
    <x:dataValidation type="list" sqref="C5:C200">
      <x:formula1>"Muito alta,Alta,Segunda lista,Não priorizar"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ca7c8ca20a4f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5" hidden="0" customWidth="1"/>
    <x:col min="4" max="4" width="22" hidden="0" customWidth="1"/>
    <x:col min="5" max="5" width="28" hidden="0" customWidth="1"/>
    <x:col min="6" max="6" width="22" hidden="0" customWidth="1"/>
    <x:col min="7" max="7" width="34" hidden="0" customWidth="1"/>
    <x:col min="8" max="8" width="23" hidden="0" customWidth="1"/>
    <x:col min="9" max="9" width="8" hidden="0" customWidth="1"/>
    <x:col min="10" max="10" width="15" hidden="0" customWidth="1"/>
    <x:col min="11" max="11" width="12" hidden="0" customWidth="1"/>
    <x:col min="12" max="12" width="9" hidden="0" customWidth="1"/>
    <x:col min="13" max="13" width="14" hidden="0" customWidth="1"/>
    <x:col min="14" max="14" width="12" hidden="0" customWidth="1"/>
    <x:col min="15" max="15" width="16" hidden="0" customWidth="1"/>
    <x:col min="16" max="16" width="16" hidden="0" customWidth="1"/>
    <x:col min="17" max="17" width="13" hidden="0" customWidth="1"/>
    <x:col min="18" max="18" width="13" hidden="0" customWidth="1"/>
    <x:col min="19" max="19" width="18" hidden="0" customWidth="1"/>
    <x:col min="20" max="20" width="42" hidden="0" customWidth="1"/>
    <x:col min="21" max="21" width="55" hidden="0" customWidth="1"/>
    <x:col min="22" max="22" width="35" hidden="0" customWidth="1"/>
    <x:col min="23" max="23" width="20" hidden="0" customWidth="1"/>
    <x:col min="24" max="24" width="14" hidden="0" customWidth="1"/>
    <x:col min="25" max="25" width="28" hidden="0" customWidth="1"/>
    <x:col min="26" max="26" width="15" hidden="0" customWidth="1"/>
    <x:col min="27" max="27" width="15" hidden="0" customWidth="1"/>
    <x:col min="28" max="28" width="16" hidden="0" customWidth="1"/>
    <x:col min="29" max="29" width="34" hidden="0" customWidth="1"/>
  </x:cols>
  <x:sheetData>
    <x:row r="1" ht="34" customHeight="1">
      <x:c r="A1" s="5" t="str">
        <x:v>Pesquisa de leads — Brasil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</x:row>
    <x:row r="2" ht="26" customHeight="1">
      <x:c r="A2" s="12" t="str">
        <x:v>Leads nacionais das cinco regiões. Confirme os itens marcados como “A confirmar” antes de iniciar a abordagem.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</x:row>
    <x:row r="4" ht="38" customHeight="1">
      <x:c r="A4" s="20" t="str">
        <x:v>ID</x:v>
      </x:c>
      <x:c r="B4" s="20" t="str">
        <x:v>Pesquisa</x:v>
      </x:c>
      <x:c r="C4" s="20" t="str">
        <x:v>Recomendação</x:v>
      </x:c>
      <x:c r="D4" s="20" t="str">
        <x:v>Perfil Instagram</x:v>
      </x:c>
      <x:c r="E4" s="20" t="str">
        <x:v>Nome / Negócio</x:v>
      </x:c>
      <x:c r="F4" s="20" t="str">
        <x:v>Segmento principal</x:v>
      </x:c>
      <x:c r="G4" s="20" t="str">
        <x:v>Serviços</x:v>
      </x:c>
      <x:c r="H4" s="20" t="str">
        <x:v>Cidade</x:v>
      </x:c>
      <x:c r="I4" s="20" t="str">
        <x:v>UF</x:v>
      </x:c>
      <x:c r="J4" s="20" t="str">
        <x:v>Região</x:v>
      </x:c>
      <x:c r="K4" s="20" t="str">
        <x:v>Pontuação auditada</x:v>
      </x:c>
      <x:c r="L4" s="20" t="str">
        <x:v>Classe</x:v>
      </x:c>
      <x:c r="M4" s="20" t="str">
        <x:v>Última publicação</x:v>
      </x:c>
      <x:c r="N4" s="20" t="str">
        <x:v>WhatsApp</x:v>
      </x:c>
      <x:c r="O4" s="20" t="str">
        <x:v>Dona/equipe pequena</x:v>
      </x:c>
      <x:c r="P4" s="20" t="str">
        <x:v>Serviços recorrentes</x:v>
      </x:c>
      <x:c r="Q4" s="20" t="str">
        <x:v>Agenda aberta</x:v>
      </x:c>
      <x:c r="R4" s="20" t="str">
        <x:v>Boas fotos</x:v>
      </x:c>
      <x:c r="S4" s="20" t="str">
        <x:v>Artes visualmente fracas</x:v>
      </x:c>
      <x:c r="T4" s="20" t="str">
        <x:v>Evidências / motivo</x:v>
      </x:c>
      <x:c r="U4" s="20" t="str">
        <x:v>Gancho personalizado</x:v>
      </x:c>
      <x:c r="V4" s="20" t="str">
        <x:v>URL Instagram</x:v>
      </x:c>
      <x:c r="W4" s="20" t="str">
        <x:v>Status</x:v>
      </x:c>
      <x:c r="X4" s="20" t="str">
        <x:v>Data 1º contato</x:v>
      </x:c>
      <x:c r="Y4" s="20" t="str">
        <x:v>Próxima ação</x:v>
      </x:c>
      <x:c r="Z4" s="20" t="str">
        <x:v>Data próxima ação</x:v>
      </x:c>
      <x:c r="AA4" s="20" t="str">
        <x:v>Valor do pacote</x:v>
      </x:c>
      <x:c r="AB4" s="20" t="str">
        <x:v>Receita fechada</x:v>
      </x:c>
      <x:c r="AC4" s="20" t="str">
        <x:v>Observações</x:v>
      </x:c>
    </x:row>
    <x:row r="5">
      <x:c r="A5" s="34" t="n">
        <x:v>11</x:v>
      </x:c>
      <x:c r="B5" s="29" t="str">
        <x:v>Nacional</x:v>
      </x:c>
      <x:c r="C5" s="29" t="str">
        <x:v>Muito alta</x:v>
      </x:c>
      <x:c r="D5" s="29" t="str">
        <x:v>@elisabrandao_concept</x:v>
      </x:c>
      <x:c r="E5" s="29" t="str">
        <x:v>Elisa Brandão Concept</x:v>
      </x:c>
      <x:c r="F5" s="29" t="str">
        <x:v>Lash designer</x:v>
      </x:c>
      <x:c r="G5" s="29" t="str">
        <x:v>Design com henna, sobrancelhas e cílios</x:v>
      </x:c>
      <x:c r="H5" s="29" t="str">
        <x:v>São José</x:v>
      </x:c>
      <x:c r="I5" s="29" t="str">
        <x:v>SC</x:v>
      </x:c>
      <x:c r="J5" s="29" t="str">
        <x:v>Sul</x:v>
      </x:c>
      <x:c r="K5" s="34" t="n">
        <x:v>9</x:v>
      </x:c>
      <x:c r="L5" s="34" t="str">
        <x:f>IF(ISNUMBER(K5),IF(K5&gt;=9,"A",IF(K5&gt;=7,"B","C")),"N/D")</x:f>
        <x:v>A</x:v>
      </x:c>
      <x:c r="M5" s="36" t="n">
        <x:v>46228</x:v>
      </x:c>
      <x:c r="N5" s="29" t="str">
        <x:v>Sim</x:v>
      </x:c>
      <x:c r="O5" s="29" t="str">
        <x:v>Sim</x:v>
      </x:c>
      <x:c r="P5" s="29" t="str">
        <x:v>Sim</x:v>
      </x:c>
      <x:c r="Q5" s="29" t="str">
        <x:v>Sim</x:v>
      </x:c>
      <x:c r="R5" s="29" t="str">
        <x:v>A confirmar</x:v>
      </x:c>
      <x:c r="S5" s="29" t="str">
        <x:v>A confirmar</x:v>
      </x:c>
      <x:c r="T5" s="29" t="str">
        <x:v>Perfil muito pequeno, em nome da própria profissional, publicação recente e chamada para WhatsApp/agendamento.</x:v>
      </x:c>
      <x:c r="U5" s="29" t="str">
        <x:v>Olá, Elisa. Vi o seu conteúdo sobre design com henna e gostei do posicionamento voltado à naturalidade. Percebi que seus resultados poderiam ganhar mais destaque com uma sequência organizada entre transformação, orientação e agendamento. Posso te mostrar uma sugestão rápida?</x:v>
      </x:c>
      <x:c r="V5" s="29" t="str">
        <x:v>https://www.instagram.com/elisabrandao_concept/</x:v>
      </x:c>
      <x:c r="W5" s="29" t="str">
        <x:v>Não contatado</x:v>
      </x:c>
      <x:c r="X5" s="36"/>
      <x:c r="Y5" s="29" t="str">
        <x:v>Validar perfil no Instagram</x:v>
      </x:c>
      <x:c r="Z5" s="36"/>
      <x:c r="AA5" s="38" t="n">
        <x:v>147</x:v>
      </x:c>
      <x:c r="AB5" s="38" t="n">
        <x:f>IF(W5="Fechado",AA5,0)</x:f>
        <x:v>0</x:v>
      </x:c>
      <x:c r="AC5" s="29" t="str"/>
    </x:row>
    <x:row r="6">
      <x:c r="A6" s="34" t="n">
        <x:v>12</x:v>
      </x:c>
      <x:c r="B6" s="29" t="str">
        <x:v>Nacional</x:v>
      </x:c>
      <x:c r="C6" s="29" t="str">
        <x:v>Muito alta</x:v>
      </x:c>
      <x:c r="D6" s="29" t="str">
        <x:v>@isabelly_glam_lash</x:v>
      </x:c>
      <x:c r="E6" s="29" t="str">
        <x:v>Isabelly Glam Lash</x:v>
      </x:c>
      <x:c r="F6" s="29" t="str">
        <x:v>Lash designer</x:v>
      </x:c>
      <x:c r="G6" s="29" t="str">
        <x:v>Cílios e sobrancelhas</x:v>
      </x:c>
      <x:c r="H6" s="29" t="str">
        <x:v>Toledo</x:v>
      </x:c>
      <x:c r="I6" s="29" t="str">
        <x:v>PR</x:v>
      </x:c>
      <x:c r="J6" s="29" t="str">
        <x:v>Sul</x:v>
      </x:c>
      <x:c r="K6" s="34" t="n">
        <x:v>9</x:v>
      </x:c>
      <x:c r="L6" s="34" t="str">
        <x:f>IF(ISNUMBER(K6),IF(K6&gt;=9,"A",IF(K6&gt;=7,"B","C")),"N/D")</x:f>
        <x:v>A</x:v>
      </x:c>
      <x:c r="M6" s="36" t="n">
        <x:v>46229</x:v>
      </x:c>
      <x:c r="N6" s="29" t="str">
        <x:v>Sim</x:v>
      </x:c>
      <x:c r="O6" s="29" t="str">
        <x:v>Sim</x:v>
      </x:c>
      <x:c r="P6" s="29" t="str">
        <x:v>Sim</x:v>
      </x:c>
      <x:c r="Q6" s="29" t="str">
        <x:v>Sim</x:v>
      </x:c>
      <x:c r="R6" s="29" t="str">
        <x:v>A confirmar</x:v>
      </x:c>
      <x:c r="S6" s="29" t="str">
        <x:v>A confirmar</x:v>
      </x:c>
      <x:c r="T6" s="29" t="str">
        <x:v>Perfil pessoal pequeno, antes e depois recente, serviços recorrentes e chamadas para Direct/WhatsApp.</x:v>
      </x:c>
      <x:c r="U6" s="29" t="str">
        <x:v>Olá, Isabelly. Vi o antes e depois que você publicou e gostei bastante do efeito natural. Esse tipo de resultado poderia render uma sequência completa, com transformação, explicação da técnica, manutenção e chamada para agenda. Posso te mostrar como eu organizaria?</x:v>
      </x:c>
      <x:c r="V6" s="29" t="str">
        <x:v>https://www.instagram.com/isabelly_glam_lash/</x:v>
      </x:c>
      <x:c r="W6" s="29" t="str">
        <x:v>Não contatado</x:v>
      </x:c>
      <x:c r="X6" s="36"/>
      <x:c r="Y6" s="29" t="str">
        <x:v>Validar perfil no Instagram</x:v>
      </x:c>
      <x:c r="Z6" s="36"/>
      <x:c r="AA6" s="38" t="n">
        <x:v>147</x:v>
      </x:c>
      <x:c r="AB6" s="38" t="n">
        <x:f>IF(W6="Fechado",AA6,0)</x:f>
        <x:v>0</x:v>
      </x:c>
      <x:c r="AC6" s="29" t="str"/>
    </x:row>
    <x:row r="7">
      <x:c r="A7" s="34" t="n">
        <x:v>13</x:v>
      </x:c>
      <x:c r="B7" s="29" t="str">
        <x:v>Nacional</x:v>
      </x:c>
      <x:c r="C7" s="29" t="str">
        <x:v>Muito alta</x:v>
      </x:c>
      <x:c r="D7" s="29" t="str">
        <x:v>@zanottibeauty</x:v>
      </x:c>
      <x:c r="E7" s="29" t="str">
        <x:v>Zanotti Beauty / Victoria</x:v>
      </x:c>
      <x:c r="F7" s="29" t="str">
        <x:v>Designer de sobrancelhas</x:v>
      </x:c>
      <x:c r="G7" s="29" t="str">
        <x:v>Henna, coloração e epilação</x:v>
      </x:c>
      <x:c r="H7" s="29" t="str">
        <x:v>Belo Horizonte</x:v>
      </x:c>
      <x:c r="I7" s="29" t="str">
        <x:v>MG</x:v>
      </x:c>
      <x:c r="J7" s="29" t="str">
        <x:v>Sudeste</x:v>
      </x:c>
      <x:c r="K7" s="34" t="n">
        <x:v>9</x:v>
      </x:c>
      <x:c r="L7" s="34" t="str">
        <x:f>IF(ISNUMBER(K7),IF(K7&gt;=9,"A",IF(K7&gt;=7,"B","C")),"N/D")</x:f>
        <x:v>A</x:v>
      </x:c>
      <x:c r="M7" s="36" t="n">
        <x:v>46219</x:v>
      </x:c>
      <x:c r="N7" s="29" t="str">
        <x:v>Sim</x:v>
      </x:c>
      <x:c r="O7" s="29" t="str">
        <x:v>Sim</x:v>
      </x:c>
      <x:c r="P7" s="29" t="str">
        <x:v>Sim</x:v>
      </x:c>
      <x:c r="Q7" s="29" t="str">
        <x:v>Sim</x:v>
      </x:c>
      <x:c r="R7" s="29" t="str">
        <x:v>A confirmar</x:v>
      </x:c>
      <x:c r="S7" s="29" t="str">
        <x:v>A confirmar</x:v>
      </x:c>
      <x:c r="T7" s="29" t="str">
        <x:v>Perfil pessoal, porte reduzido, WhatsApp para agendamento e comunicação em primeira pessoa.</x:v>
      </x:c>
      <x:c r="U7" s="29" t="str">
        <x:v>Olá, Victoria. Vi os registros dos seus atendimentos e gostei do foco em naturalidade e precisão. Pensei em uma forma de organizar esses resultados em três tipos de conteúdo: transformação, orientação e agendamento. Posso te mostrar uma ideia?</x:v>
      </x:c>
      <x:c r="V7" s="29" t="str">
        <x:v>https://www.instagram.com/zanottibeauty/</x:v>
      </x:c>
      <x:c r="W7" s="29" t="str">
        <x:v>Não contatado</x:v>
      </x:c>
      <x:c r="X7" s="36"/>
      <x:c r="Y7" s="29" t="str">
        <x:v>Validar perfil no Instagram</x:v>
      </x:c>
      <x:c r="Z7" s="36"/>
      <x:c r="AA7" s="38" t="n">
        <x:v>147</x:v>
      </x:c>
      <x:c r="AB7" s="38" t="n">
        <x:f>IF(W7="Fechado",AA7,0)</x:f>
        <x:v>0</x:v>
      </x:c>
      <x:c r="AC7" s="29" t="str"/>
    </x:row>
    <x:row r="8">
      <x:c r="A8" s="34" t="n">
        <x:v>14</x:v>
      </x:c>
      <x:c r="B8" s="29" t="str">
        <x:v>Nacional</x:v>
      </x:c>
      <x:c r="C8" s="29" t="str">
        <x:v>Muito alta</x:v>
      </x:c>
      <x:c r="D8" s="29" t="str">
        <x:v>@binhamarquespmu</x:v>
      </x:c>
      <x:c r="E8" s="29" t="str">
        <x:v>Binha Marques PMU</x:v>
      </x:c>
      <x:c r="F8" s="29" t="str">
        <x:v>Designer de sobrancelhas</x:v>
      </x:c>
      <x:c r="G8" s="29" t="str">
        <x:v>Cílios, sobrancelhas e micropigmentação</x:v>
      </x:c>
      <x:c r="H8" s="29" t="str">
        <x:v>Brumadinho</x:v>
      </x:c>
      <x:c r="I8" s="29" t="str">
        <x:v>MG</x:v>
      </x:c>
      <x:c r="J8" s="29" t="str">
        <x:v>Sudeste</x:v>
      </x:c>
      <x:c r="K8" s="34" t="n">
        <x:v>9</x:v>
      </x:c>
      <x:c r="L8" s="34" t="str">
        <x:f>IF(ISNUMBER(K8),IF(K8&gt;=9,"A",IF(K8&gt;=7,"B","C")),"N/D")</x:f>
        <x:v>A</x:v>
      </x:c>
      <x:c r="M8" s="36" t="n">
        <x:v>46225</x:v>
      </x:c>
      <x:c r="N8" s="29" t="str">
        <x:v>Sim</x:v>
      </x:c>
      <x:c r="O8" s="29" t="str">
        <x:v>Sim</x:v>
      </x:c>
      <x:c r="P8" s="29" t="str">
        <x:v>Sim</x:v>
      </x:c>
      <x:c r="Q8" s="29" t="str">
        <x:v>Sim</x:v>
      </x:c>
      <x:c r="R8" s="29" t="str">
        <x:v>A confirmar</x:v>
      </x:c>
      <x:c r="S8" s="29" t="str">
        <x:v>A confirmar</x:v>
      </x:c>
      <x:c r="T8" s="29" t="str">
        <x:v>Perfil pessoal, atendimento humanizado, publicação recente e agendamento pelo WhatsApp.</x:v>
      </x:c>
      <x:c r="U8" s="29" t="str">
        <x:v>Olá, Binha. Vi os conteúdos de design com henna e gostei do posicionamento de atendimento humanizado. Percebi uma oportunidade de deixar essa proposta mais visível no perfil, alternando resultados, bastidores, orientação e agenda. Posso te mostrar uma sugestão?</x:v>
      </x:c>
      <x:c r="V8" s="29" t="str">
        <x:v>https://www.instagram.com/binhamarquespmu/</x:v>
      </x:c>
      <x:c r="W8" s="29" t="str">
        <x:v>Não contatado</x:v>
      </x:c>
      <x:c r="X8" s="36"/>
      <x:c r="Y8" s="29" t="str">
        <x:v>Validar perfil no Instagram</x:v>
      </x:c>
      <x:c r="Z8" s="36"/>
      <x:c r="AA8" s="38" t="n">
        <x:v>147</x:v>
      </x:c>
      <x:c r="AB8" s="38" t="n">
        <x:f>IF(W8="Fechado",AA8,0)</x:f>
        <x:v>0</x:v>
      </x:c>
      <x:c r="AC8" s="29" t="str"/>
    </x:row>
    <x:row r="9">
      <x:c r="A9" s="34" t="n">
        <x:v>15</x:v>
      </x:c>
      <x:c r="B9" s="29" t="str">
        <x:v>Nacional</x:v>
      </x:c>
      <x:c r="C9" s="29" t="str">
        <x:v>Muito alta</x:v>
      </x:c>
      <x:c r="D9" s="29" t="str">
        <x:v>@naaaaati_silva</x:v>
      </x:c>
      <x:c r="E9" s="29" t="str">
        <x:v>Natii Silva</x:v>
      </x:c>
      <x:c r="F9" s="29" t="str">
        <x:v>Lash designer</x:v>
      </x:c>
      <x:c r="G9" s="29" t="str">
        <x:v>Cílios e micropigmentação</x:v>
      </x:c>
      <x:c r="H9" s="29" t="str">
        <x:v>Suzano</x:v>
      </x:c>
      <x:c r="I9" s="29" t="str">
        <x:v>SP</x:v>
      </x:c>
      <x:c r="J9" s="29" t="str">
        <x:v>Sudeste</x:v>
      </x:c>
      <x:c r="K9" s="34" t="n">
        <x:v>9</x:v>
      </x:c>
      <x:c r="L9" s="34" t="str">
        <x:f>IF(ISNUMBER(K9),IF(K9&gt;=9,"A",IF(K9&gt;=7,"B","C")),"N/D")</x:f>
        <x:v>A</x:v>
      </x:c>
      <x:c r="M9" s="36" t="n">
        <x:v>46229</x:v>
      </x:c>
      <x:c r="N9" s="29" t="str">
        <x:v>Sim</x:v>
      </x:c>
      <x:c r="O9" s="29" t="str">
        <x:v>Sim</x:v>
      </x:c>
      <x:c r="P9" s="29" t="str">
        <x:v>Sim</x:v>
      </x:c>
      <x:c r="Q9" s="29" t="str">
        <x:v>Sim</x:v>
      </x:c>
      <x:c r="R9" s="29" t="str">
        <x:v>A confirmar</x:v>
      </x:c>
      <x:c r="S9" s="29" t="str">
        <x:v>A confirmar</x:v>
      </x:c>
      <x:c r="T9" s="29" t="str">
        <x:v>Perfil pessoal pequeno, publicação recente de combo e WhatsApp para informações e agendamentos.</x:v>
      </x:c>
      <x:c r="U9" s="29" t="str">
        <x:v>Olá, Natii. Vi o conteúdo sobre o combo de cílios e sobrancelhas e gostei bastante do resultado. Seu perfil tem material para criar uma sequência forte entre transformação, praticidade, cuidados e agendamento. Posso te mostrar uma ideia rápida?</x:v>
      </x:c>
      <x:c r="V9" s="29" t="str">
        <x:v>https://www.instagram.com/naaaaati_silva/</x:v>
      </x:c>
      <x:c r="W9" s="29" t="str">
        <x:v>Não contatado</x:v>
      </x:c>
      <x:c r="X9" s="36"/>
      <x:c r="Y9" s="29" t="str">
        <x:v>Validar perfil no Instagram</x:v>
      </x:c>
      <x:c r="Z9" s="36"/>
      <x:c r="AA9" s="38" t="n">
        <x:v>147</x:v>
      </x:c>
      <x:c r="AB9" s="38" t="n">
        <x:f>IF(W9="Fechado",AA9,0)</x:f>
        <x:v>0</x:v>
      </x:c>
      <x:c r="AC9" s="29" t="str"/>
    </x:row>
    <x:row r="10">
      <x:c r="A10" s="34" t="n">
        <x:v>16</x:v>
      </x:c>
      <x:c r="B10" s="29" t="str">
        <x:v>Nacional</x:v>
      </x:c>
      <x:c r="C10" s="29" t="str">
        <x:v>Muito alta</x:v>
      </x:c>
      <x:c r="D10" s="29" t="str">
        <x:v>@lash.kethlynteixeira</x:v>
      </x:c>
      <x:c r="E10" s="29" t="str">
        <x:v>Kethlyn Teixeira</x:v>
      </x:c>
      <x:c r="F10" s="29" t="str">
        <x:v>Lash designer</x:v>
      </x:c>
      <x:c r="G10" s="29" t="str">
        <x:v>Extensão de cílios e lash lifting</x:v>
      </x:c>
      <x:c r="H10" s="29" t="str">
        <x:v>Guaratiba / Rio de Janeiro</x:v>
      </x:c>
      <x:c r="I10" s="29" t="str">
        <x:v>RJ</x:v>
      </x:c>
      <x:c r="J10" s="29" t="str">
        <x:v>Sudeste</x:v>
      </x:c>
      <x:c r="K10" s="34" t="n">
        <x:v>9</x:v>
      </x:c>
      <x:c r="L10" s="34" t="str">
        <x:f>IF(ISNUMBER(K10),IF(K10&gt;=9,"A",IF(K10&gt;=7,"B","C")),"N/D")</x:f>
        <x:v>A</x:v>
      </x:c>
      <x:c r="M10" s="36" t="n">
        <x:v>46227</x:v>
      </x:c>
      <x:c r="N10" s="29" t="str">
        <x:v>Sim</x:v>
      </x:c>
      <x:c r="O10" s="29" t="str">
        <x:v>Sim</x:v>
      </x:c>
      <x:c r="P10" s="29" t="str">
        <x:v>Sim</x:v>
      </x:c>
      <x:c r="Q10" s="29" t="str">
        <x:v>Sim</x:v>
      </x:c>
      <x:c r="R10" s="29" t="str">
        <x:v>A confirmar</x:v>
      </x:c>
      <x:c r="S10" s="29" t="str">
        <x:v>A confirmar</x:v>
      </x:c>
      <x:c r="T10" s="29" t="str">
        <x:v>Perfil em nome da própria profissional, conteúdo técnico recente e chamada para agendamento pelo WhatsApp.</x:v>
      </x:c>
      <x:c r="U10" s="29" t="str">
        <x:v>Olá, Kethlyn. Vi o conteúdo de Lash Lifting e gostei da forma como você destaca a execução técnica. Pensei em uma sequência que mostraria resultado, benefício, segurança e chamada para agenda sem deixar o perfil excessivamente promocional. Posso te mostrar?</x:v>
      </x:c>
      <x:c r="V10" s="29" t="str">
        <x:v>https://www.instagram.com/lash.kethlynteixeira/</x:v>
      </x:c>
      <x:c r="W10" s="29" t="str">
        <x:v>Não contatado</x:v>
      </x:c>
      <x:c r="X10" s="36"/>
      <x:c r="Y10" s="29" t="str">
        <x:v>Validar perfil no Instagram</x:v>
      </x:c>
      <x:c r="Z10" s="36"/>
      <x:c r="AA10" s="38" t="n">
        <x:v>147</x:v>
      </x:c>
      <x:c r="AB10" s="38" t="n">
        <x:f>IF(W10="Fechado",AA10,0)</x:f>
        <x:v>0</x:v>
      </x:c>
      <x:c r="AC10" s="29" t="str"/>
    </x:row>
    <x:row r="11">
      <x:c r="A11" s="34" t="n">
        <x:v>17</x:v>
      </x:c>
      <x:c r="B11" s="29" t="str">
        <x:v>Nacional</x:v>
      </x:c>
      <x:c r="C11" s="29" t="str">
        <x:v>Alta</x:v>
      </x:c>
      <x:c r="D11" s="29" t="str">
        <x:v>@marciaalmeida.unhas</x:v>
      </x:c>
      <x:c r="E11" s="29" t="str">
        <x:v>Márcia Almeida Unhas</x:v>
      </x:c>
      <x:c r="F11" s="29" t="str">
        <x:v>Nail designer</x:v>
      </x:c>
      <x:c r="G11" s="29" t="str">
        <x:v>Unhas naturais, alongamentos e cursos</x:v>
      </x:c>
      <x:c r="H11" s="29" t="str">
        <x:v>Recife</x:v>
      </x:c>
      <x:c r="I11" s="29" t="str">
        <x:v>PE</x:v>
      </x:c>
      <x:c r="J11" s="29" t="str">
        <x:v>Nordeste</x:v>
      </x:c>
      <x:c r="K11" s="34" t="n">
        <x:v>9</x:v>
      </x:c>
      <x:c r="L11" s="34" t="str">
        <x:f>IF(ISNUMBER(K11),IF(K11&gt;=9,"A",IF(K11&gt;=7,"B","C")),"N/D")</x:f>
        <x:v>A</x:v>
      </x:c>
      <x:c r="M11" s="36" t="n">
        <x:v>46224</x:v>
      </x:c>
      <x:c r="N11" s="29" t="str">
        <x:v>Sim</x:v>
      </x:c>
      <x:c r="O11" s="29" t="str">
        <x:v>Sim</x:v>
      </x:c>
      <x:c r="P11" s="29" t="str">
        <x:v>Sim</x:v>
      </x:c>
      <x:c r="Q11" s="29" t="str">
        <x:v>Sim</x:v>
      </x:c>
      <x:c r="R11" s="29" t="str">
        <x:v>A confirmar</x:v>
      </x:c>
      <x:c r="S11" s="29" t="str">
        <x:v>A confirmar</x:v>
      </x:c>
      <x:c r="T11" s="29" t="str">
        <x:v>Perfil pessoal, serviços recorrentes, atividade recente e agendamento pelo Direct ou WhatsApp.</x:v>
      </x:c>
      <x:c r="U11" s="29" t="str">
        <x:v>Olá, Márcia. Vi seus trabalhos de unhas em gel e o posicionamento como nail designer e educadora. Percebi uma oportunidade de separar melhor os conteúdos para clientes dos conteúdos de cursos, deixando cada chamada mais clara. Posso te mostrar uma sugestão?</x:v>
      </x:c>
      <x:c r="V11" s="29" t="str">
        <x:v>https://www.instagram.com/marciaalmeida.unhas/</x:v>
      </x:c>
      <x:c r="W11" s="29" t="str">
        <x:v>Não contatado</x:v>
      </x:c>
      <x:c r="X11" s="36"/>
      <x:c r="Y11" s="29" t="str">
        <x:v>Validar perfil no Instagram</x:v>
      </x:c>
      <x:c r="Z11" s="36"/>
      <x:c r="AA11" s="38" t="n">
        <x:v>147</x:v>
      </x:c>
      <x:c r="AB11" s="38" t="n">
        <x:f>IF(W11="Fechado",AA11,0)</x:f>
        <x:v>0</x:v>
      </x:c>
      <x:c r="AC11" s="29" t="str"/>
    </x:row>
    <x:row r="12">
      <x:c r="A12" s="34" t="n">
        <x:v>18</x:v>
      </x:c>
      <x:c r="B12" s="29" t="str">
        <x:v>Nacional</x:v>
      </x:c>
      <x:c r="C12" s="29" t="str">
        <x:v>Alta</x:v>
      </x:c>
      <x:c r="D12" s="29" t="str">
        <x:v>@ligiaalvesbeauty</x:v>
      </x:c>
      <x:c r="E12" s="29" t="str">
        <x:v>Lígia Alves Beauty</x:v>
      </x:c>
      <x:c r="F12" s="29" t="str">
        <x:v>Designer de sobrancelhas</x:v>
      </x:c>
      <x:c r="G12" s="29" t="str">
        <x:v>Sobrancelhas, cílios e estética do olhar</x:v>
      </x:c>
      <x:c r="H12" s="29" t="str">
        <x:v>Fortaleza</x:v>
      </x:c>
      <x:c r="I12" s="29" t="str">
        <x:v>CE</x:v>
      </x:c>
      <x:c r="J12" s="29" t="str">
        <x:v>Nordeste</x:v>
      </x:c>
      <x:c r="K12" s="34" t="n">
        <x:v>9</x:v>
      </x:c>
      <x:c r="L12" s="34" t="str">
        <x:f>IF(ISNUMBER(K12),IF(K12&gt;=9,"A",IF(K12&gt;=7,"B","C")),"N/D")</x:f>
        <x:v>A</x:v>
      </x:c>
      <x:c r="M12" s="36" t="n">
        <x:v>46219</x:v>
      </x:c>
      <x:c r="N12" s="29" t="str">
        <x:v>Sim</x:v>
      </x:c>
      <x:c r="O12" s="29" t="str">
        <x:v>Sim</x:v>
      </x:c>
      <x:c r="P12" s="29" t="str">
        <x:v>Sim</x:v>
      </x:c>
      <x:c r="Q12" s="29" t="str">
        <x:v>Sim</x:v>
      </x:c>
      <x:c r="R12" s="29" t="str">
        <x:v>A confirmar</x:v>
      </x:c>
      <x:c r="S12" s="29" t="str">
        <x:v>A confirmar</x:v>
      </x:c>
      <x:c r="T12" s="29" t="str">
        <x:v>Divulgação de combos, promoções e vagas pelo WhatsApp; interesse ativo em captar agendamentos.</x:v>
      </x:c>
      <x:c r="U12" s="29" t="str">
        <x:v>Olá, Lígia. Vi os combos e as condições de boas-vindas que você está divulgando. Uma oportunidade seria organizar essas campanhas para que o perfil não dependa somente de promoções, alternando resultados, benefícios e agenda. Posso te mostrar uma ideia?</x:v>
      </x:c>
      <x:c r="V12" s="29" t="str">
        <x:v>https://www.instagram.com/ligiaalvesbeauty/</x:v>
      </x:c>
      <x:c r="W12" s="29" t="str">
        <x:v>Não contatado</x:v>
      </x:c>
      <x:c r="X12" s="36"/>
      <x:c r="Y12" s="29" t="str">
        <x:v>Validar perfil no Instagram</x:v>
      </x:c>
      <x:c r="Z12" s="36"/>
      <x:c r="AA12" s="38" t="n">
        <x:v>147</x:v>
      </x:c>
      <x:c r="AB12" s="38" t="n">
        <x:f>IF(W12="Fechado",AA12,0)</x:f>
        <x:v>0</x:v>
      </x:c>
      <x:c r="AC12" s="29" t="str"/>
    </x:row>
    <x:row r="13">
      <x:c r="A13" s="34" t="n">
        <x:v>19</x:v>
      </x:c>
      <x:c r="B13" s="29" t="str">
        <x:v>Nacional</x:v>
      </x:c>
      <x:c r="C13" s="29" t="str">
        <x:v>Alta</x:v>
      </x:c>
      <x:c r="D13" s="29" t="str">
        <x:v>@renata_serudo</x:v>
      </x:c>
      <x:c r="E13" s="29" t="str">
        <x:v>Renata Serudo</x:v>
      </x:c>
      <x:c r="F13" s="29" t="str">
        <x:v>Esteticista</x:v>
      </x:c>
      <x:c r="G13" s="29" t="str">
        <x:v>Estética facial e corporal</x:v>
      </x:c>
      <x:c r="H13" s="29" t="str">
        <x:v>Manaus</x:v>
      </x:c>
      <x:c r="I13" s="29" t="str">
        <x:v>AM</x:v>
      </x:c>
      <x:c r="J13" s="29" t="str">
        <x:v>Norte</x:v>
      </x:c>
      <x:c r="K13" s="34" t="n">
        <x:v>9</x:v>
      </x:c>
      <x:c r="L13" s="34" t="str">
        <x:f>IF(ISNUMBER(K13),IF(K13&gt;=9,"A",IF(K13&gt;=7,"B","C")),"N/D")</x:f>
        <x:v>A</x:v>
      </x:c>
      <x:c r="M13" s="36" t="n">
        <x:v>46219</x:v>
      </x:c>
      <x:c r="N13" s="29" t="str">
        <x:v>Sim</x:v>
      </x:c>
      <x:c r="O13" s="29" t="str">
        <x:v>Sim</x:v>
      </x:c>
      <x:c r="P13" s="29" t="str">
        <x:v>Sim</x:v>
      </x:c>
      <x:c r="Q13" s="29" t="str">
        <x:v>Sim</x:v>
      </x:c>
      <x:c r="R13" s="29" t="str">
        <x:v>A confirmar</x:v>
      </x:c>
      <x:c r="S13" s="29" t="str">
        <x:v>A confirmar</x:v>
      </x:c>
      <x:c r="T13" s="29" t="str">
        <x:v>Perfil pessoal, WhatsApp e endereço visíveis, atendimento com hora marcada e serviços recorrentes.</x:v>
      </x:c>
      <x:c r="U13" s="29" t="str">
        <x:v>Olá, Renata. Vi sua proposta de atendimento facial e corporal personalizado. Percebi que seus diferentes protocolos poderiam ser organizados por objetivo da cliente, facilitando a compreensão e o pedido de avaliação. Posso te mostrar uma estrutura?</x:v>
      </x:c>
      <x:c r="V13" s="29" t="str">
        <x:v>https://www.instagram.com/renata_serudo/</x:v>
      </x:c>
      <x:c r="W13" s="29" t="str">
        <x:v>Não contatado</x:v>
      </x:c>
      <x:c r="X13" s="36"/>
      <x:c r="Y13" s="29" t="str">
        <x:v>Validar perfil no Instagram</x:v>
      </x:c>
      <x:c r="Z13" s="36"/>
      <x:c r="AA13" s="38" t="n">
        <x:v>147</x:v>
      </x:c>
      <x:c r="AB13" s="38" t="n">
        <x:f>IF(W13="Fechado",AA13,0)</x:f>
        <x:v>0</x:v>
      </x:c>
      <x:c r="AC13" s="29" t="str"/>
    </x:row>
    <x:row r="14">
      <x:c r="A14" s="34" t="n">
        <x:v>20</x:v>
      </x:c>
      <x:c r="B14" s="29" t="str">
        <x:v>Nacional</x:v>
      </x:c>
      <x:c r="C14" s="29" t="str">
        <x:v>Alta</x:v>
      </x:c>
      <x:c r="D14" s="29" t="str">
        <x:v>@suzanacontini.estetica</x:v>
      </x:c>
      <x:c r="E14" s="29" t="str">
        <x:v>Suzana Contini Estética</x:v>
      </x:c>
      <x:c r="F14" s="29" t="str">
        <x:v>Esteticista</x:v>
      </x:c>
      <x:c r="G14" s="29" t="str">
        <x:v>Procedimentos faciais, corporais e bem-estar</x:v>
      </x:c>
      <x:c r="H14" s="29" t="str">
        <x:v>Paraná (confirmar cidade)</x:v>
      </x:c>
      <x:c r="I14" s="29" t="str">
        <x:v>PR</x:v>
      </x:c>
      <x:c r="J14" s="29" t="str">
        <x:v>Sul</x:v>
      </x:c>
      <x:c r="K14" s="34" t="n">
        <x:v>8</x:v>
      </x:c>
      <x:c r="L14" s="34" t="str">
        <x:f>IF(ISNUMBER(K14),IF(K14&gt;=9,"A",IF(K14&gt;=7,"B","C")),"N/D")</x:f>
        <x:v>B</x:v>
      </x:c>
      <x:c r="M14" s="36" t="n">
        <x:v>46223</x:v>
      </x:c>
      <x:c r="N14" s="29" t="str">
        <x:v>Sim</x:v>
      </x:c>
      <x:c r="O14" s="29" t="str">
        <x:v>Sim</x:v>
      </x:c>
      <x:c r="P14" s="29" t="str">
        <x:v>Sim</x:v>
      </x:c>
      <x:c r="Q14" s="29" t="str">
        <x:v>Sim</x:v>
      </x:c>
      <x:c r="R14" s="29" t="str">
        <x:v>A confirmar</x:v>
      </x:c>
      <x:c r="S14" s="29" t="str">
        <x:v>A confirmar</x:v>
      </x:c>
      <x:c r="T14" s="29" t="str">
        <x:v>Perfil pessoal, telefone DDD 41, WhatsApp para agendamento e variedade de procedimentos. Cidade deve ser confirmada.</x:v>
      </x:c>
      <x:c r="U14" s="29" t="str">
        <x:v>Olá, Suzana. Vi seus conteúdos de estética e bem-estar e percebi que você trabalha com diferentes tipos de atendimento. Pensei em uma forma de organizar os conteúdos por necessidade da cliente, como pele, medidas, relaxamento e autocuidado. Posso te mostrar?</x:v>
      </x:c>
      <x:c r="V14" s="29" t="str">
        <x:v>https://www.instagram.com/suzanacontini.estetica/</x:v>
      </x:c>
      <x:c r="W14" s="29" t="str">
        <x:v>Não contatado</x:v>
      </x:c>
      <x:c r="X14" s="36"/>
      <x:c r="Y14" s="29" t="str">
        <x:v>Validar perfil no Instagram</x:v>
      </x:c>
      <x:c r="Z14" s="36"/>
      <x:c r="AA14" s="38" t="n">
        <x:v>147</x:v>
      </x:c>
      <x:c r="AB14" s="38" t="n">
        <x:f>IF(W14="Fechado",AA14,0)</x:f>
        <x:v>0</x:v>
      </x:c>
      <x:c r="AC14" s="29" t="str"/>
    </x:row>
    <x:row r="15">
      <x:c r="A15" s="34" t="n">
        <x:v>21</x:v>
      </x:c>
      <x:c r="B15" s="29" t="str">
        <x:v>Nacional</x:v>
      </x:c>
      <x:c r="C15" s="29" t="str">
        <x:v>Segunda lista</x:v>
      </x:c>
      <x:c r="D15" s="29" t="str">
        <x:v>@studio.jessycazaylla</x:v>
      </x:c>
      <x:c r="E15" s="29" t="str">
        <x:v>Studio Jessy Cazaylla</x:v>
      </x:c>
      <x:c r="F15" s="29" t="str">
        <x:v>Designer de sobrancelhas</x:v>
      </x:c>
      <x:c r="G15" s="29" t="str">
        <x:v>Estética e micropigmentação</x:v>
      </x:c>
      <x:c r="H15" s="29" t="str">
        <x:v>Brasília</x:v>
      </x:c>
      <x:c r="I15" s="29" t="str">
        <x:v>DF</x:v>
      </x:c>
      <x:c r="J15" s="29" t="str">
        <x:v>Centro-Oeste</x:v>
      </x:c>
      <x:c r="K15" s="34"/>
      <x:c r="L15" s="34" t="str">
        <x:f>IF(ISNUMBER(K15),IF(K15&gt;=9,"A",IF(K15&gt;=7,"B","C")),"N/D")</x:f>
        <x:v>N/D</x:v>
      </x:c>
      <x:c r="M15" s="36"/>
      <x:c r="N15" s="29" t="str">
        <x:v>Sim</x:v>
      </x:c>
      <x:c r="O15" s="29" t="str">
        <x:v>Provável</x:v>
      </x:c>
      <x:c r="P15" s="29" t="str">
        <x:v>Sim</x:v>
      </x:c>
      <x:c r="Q15" s="29" t="str">
        <x:v>A confirmar</x:v>
      </x:c>
      <x:c r="R15" s="29" t="str">
        <x:v>A confirmar</x:v>
      </x:c>
      <x:c r="S15" s="29" t="str">
        <x:v>A confirmar</x:v>
      </x:c>
      <x:c r="T15" s="29" t="str">
        <x:v>Ativa em julho, WhatsApp público, cerca de 4,5 mil seguidores e mais de 300 publicações; maior maturidade.</x:v>
      </x:c>
      <x:c r="U15" s="29" t="str">
        <x:v>Abordar com proposta consultiva de campanha ou apoio pontual, enfatizando organização de serviços e produção em períodos de maior demanda.</x:v>
      </x:c>
      <x:c r="V15" s="29" t="str">
        <x:v>https://www.instagram.com/studio.jessycazaylla/</x:v>
      </x:c>
      <x:c r="W15" s="29" t="str">
        <x:v>Não contatado</x:v>
      </x:c>
      <x:c r="X15" s="36"/>
      <x:c r="Y15" s="29" t="str">
        <x:v>Validar perfil no Instagram</x:v>
      </x:c>
      <x:c r="Z15" s="36"/>
      <x:c r="AA15" s="38" t="n">
        <x:v>147</x:v>
      </x:c>
      <x:c r="AB15" s="38" t="n">
        <x:f>IF(W15="Fechado",AA15,0)</x:f>
        <x:v>0</x:v>
      </x:c>
      <x:c r="AC15" s="29" t="str"/>
    </x:row>
    <x:row r="16">
      <x:c r="A16" s="34" t="n">
        <x:v>22</x:v>
      </x:c>
      <x:c r="B16" s="29" t="str">
        <x:v>Nacional</x:v>
      </x:c>
      <x:c r="C16" s="29" t="str">
        <x:v>Segunda lista</x:v>
      </x:c>
      <x:c r="D16" s="29" t="str">
        <x:v>@studio.andressasantos</x:v>
      </x:c>
      <x:c r="E16" s="29" t="str">
        <x:v>Studio Andressa Santos</x:v>
      </x:c>
      <x:c r="F16" s="29" t="str">
        <x:v>Esteticista</x:v>
      </x:c>
      <x:c r="G16" s="29" t="str">
        <x:v>Estética facial e corporal</x:v>
      </x:c>
      <x:c r="H16" s="29" t="str">
        <x:v>Santos</x:v>
      </x:c>
      <x:c r="I16" s="29" t="str">
        <x:v>SP</x:v>
      </x:c>
      <x:c r="J16" s="29" t="str">
        <x:v>Sudeste</x:v>
      </x:c>
      <x:c r="K16" s="34"/>
      <x:c r="L16" s="34" t="str">
        <x:f>IF(ISNUMBER(K16),IF(K16&gt;=9,"A",IF(K16&gt;=7,"B","C")),"N/D")</x:f>
        <x:v>N/D</x:v>
      </x:c>
      <x:c r="M16" s="36" t="n">
        <x:v>46227</x:v>
      </x:c>
      <x:c r="N16" s="29" t="str">
        <x:v>Sim</x:v>
      </x:c>
      <x:c r="O16" s="29" t="str">
        <x:v>Provável</x:v>
      </x:c>
      <x:c r="P16" s="29" t="str">
        <x:v>Sim</x:v>
      </x:c>
      <x:c r="Q16" s="29" t="str">
        <x:v>A confirmar</x:v>
      </x:c>
      <x:c r="R16" s="29" t="str">
        <x:v>A confirmar</x:v>
      </x:c>
      <x:c r="S16" s="29" t="str">
        <x:v>Provavelmente não</x:v>
      </x:c>
      <x:c r="T16" s="29" t="str">
        <x:v>Perfil ativo, WhatsApp público e cerca de 11,2 mil seguidores; estrutura mais consolidada.</x:v>
      </x:c>
      <x:c r="U16" s="29" t="str">
        <x:v>Abordar futuramente com campanha pontual, roteiros ou aumento temporário de produção, não como primeira prioridade.</x:v>
      </x:c>
      <x:c r="V16" s="29" t="str">
        <x:v>https://www.instagram.com/studio.andressasantos/</x:v>
      </x:c>
      <x:c r="W16" s="29" t="str">
        <x:v>Não contatado</x:v>
      </x:c>
      <x:c r="X16" s="36"/>
      <x:c r="Y16" s="29" t="str">
        <x:v>Validar perfil no Instagram</x:v>
      </x:c>
      <x:c r="Z16" s="36"/>
      <x:c r="AA16" s="38" t="n">
        <x:v>147</x:v>
      </x:c>
      <x:c r="AB16" s="38" t="n">
        <x:f>IF(W16="Fechado",AA16,0)</x:f>
        <x:v>0</x:v>
      </x:c>
      <x:c r="AC16" s="29" t="str"/>
    </x:row>
    <x:row r="17">
      <x:c r="A17" s="34" t="n">
        <x:v>23</x:v>
      </x:c>
      <x:c r="B17" s="29" t="str">
        <x:v>Nacional</x:v>
      </x:c>
      <x:c r="C17" s="29" t="str">
        <x:v>Segunda lista</x:v>
      </x:c>
      <x:c r="D17" s="29" t="str">
        <x:v>@lashnannimonteiro</x:v>
      </x:c>
      <x:c r="E17" s="29" t="str">
        <x:v>Nanni Monteiro</x:v>
      </x:c>
      <x:c r="F17" s="29" t="str">
        <x:v>Lash designer</x:v>
      </x:c>
      <x:c r="G17" s="29" t="str">
        <x:v>Cílios e estética do olhar</x:v>
      </x:c>
      <x:c r="H17" s="29" t="str">
        <x:v>Lauro de Freitas</x:v>
      </x:c>
      <x:c r="I17" s="29" t="str">
        <x:v>BA</x:v>
      </x:c>
      <x:c r="J17" s="29" t="str">
        <x:v>Nordeste</x:v>
      </x:c>
      <x:c r="K17" s="34"/>
      <x:c r="L17" s="34" t="str">
        <x:f>IF(ISNUMBER(K17),IF(K17&gt;=9,"A",IF(K17&gt;=7,"B","C")),"N/D")</x:f>
        <x:v>N/D</x:v>
      </x:c>
      <x:c r="M17" s="36" t="n">
        <x:v>46226</x:v>
      </x:c>
      <x:c r="N17" s="29" t="str">
        <x:v>A confirmar</x:v>
      </x:c>
      <x:c r="O17" s="29" t="str">
        <x:v>Sim</x:v>
      </x:c>
      <x:c r="P17" s="29" t="str">
        <x:v>Sim</x:v>
      </x:c>
      <x:c r="Q17" s="29" t="str">
        <x:v>A confirmar</x:v>
      </x:c>
      <x:c r="R17" s="29" t="str">
        <x:v>A confirmar</x:v>
      </x:c>
      <x:c r="S17" s="29" t="str">
        <x:v>A confirmar</x:v>
      </x:c>
      <x:c r="T17" s="29" t="str">
        <x:v>Perfil pessoal e ativo, forte indicação de gestão pela própria fundadora; WhatsApp precisa ser confirmado.</x:v>
      </x:c>
      <x:c r="U17" s="29" t="str">
        <x:v>Olá, Nanni. Vi que você mantém o perfil ativo e trabalha diretamente com estética do olhar. Percebi uma oportunidade de organizar resultados, cuidados e chamadas para agenda em uma sequência mais consistente. Posso te mostrar uma ideia?</x:v>
      </x:c>
      <x:c r="V17" s="29" t="str">
        <x:v>https://www.instagram.com/lashnannimonteiro/</x:v>
      </x:c>
      <x:c r="W17" s="29" t="str">
        <x:v>Não contatado</x:v>
      </x:c>
      <x:c r="X17" s="36"/>
      <x:c r="Y17" s="29" t="str">
        <x:v>Validar perfil no Instagram</x:v>
      </x:c>
      <x:c r="Z17" s="36"/>
      <x:c r="AA17" s="38" t="n">
        <x:v>147</x:v>
      </x:c>
      <x:c r="AB17" s="38" t="n">
        <x:f>IF(W17="Fechado",AA17,0)</x:f>
        <x:v>0</x:v>
      </x:c>
      <x:c r="AC17" s="29" t="str"/>
    </x:row>
    <x:row r="18">
      <x:c r="A18" s="34" t="n">
        <x:v>24</x:v>
      </x:c>
      <x:c r="B18" s="29" t="str">
        <x:v>Nacional</x:v>
      </x:c>
      <x:c r="C18" s="29" t="str">
        <x:v>Segunda lista</x:v>
      </x:c>
      <x:c r="D18" s="29" t="str">
        <x:v>@lash_sulladejesus</x:v>
      </x:c>
      <x:c r="E18" s="29" t="str">
        <x:v>Sulla de Jesus</x:v>
      </x:c>
      <x:c r="F18" s="29" t="str">
        <x:v>Designer de sobrancelhas</x:v>
      </x:c>
      <x:c r="G18" s="29" t="str">
        <x:v>Design de sobrancelhas e promoções de beleza</x:v>
      </x:c>
      <x:c r="H18" s="29" t="str">
        <x:v>Cabo Frio</x:v>
      </x:c>
      <x:c r="I18" s="29" t="str">
        <x:v>RJ</x:v>
      </x:c>
      <x:c r="J18" s="29" t="str">
        <x:v>Sudeste</x:v>
      </x:c>
      <x:c r="K18" s="34"/>
      <x:c r="L18" s="34" t="str">
        <x:f>IF(ISNUMBER(K18),IF(K18&gt;=9,"A",IF(K18&gt;=7,"B","C")),"N/D")</x:f>
        <x:v>N/D</x:v>
      </x:c>
      <x:c r="M18" s="36" t="n">
        <x:v>46223</x:v>
      </x:c>
      <x:c r="N18" s="29" t="str">
        <x:v>A confirmar</x:v>
      </x:c>
      <x:c r="O18" s="29" t="str">
        <x:v>Sim</x:v>
      </x:c>
      <x:c r="P18" s="29" t="str">
        <x:v>Sim</x:v>
      </x:c>
      <x:c r="Q18" s="29" t="str">
        <x:v>Sim</x:v>
      </x:c>
      <x:c r="R18" s="29" t="str">
        <x:v>A confirmar</x:v>
      </x:c>
      <x:c r="S18" s="29" t="str">
        <x:v>A confirmar</x:v>
      </x:c>
      <x:c r="T18" s="29" t="str">
        <x:v>Perfil pessoal, promoção recente e serviços recorrentes; confirmar WhatsApp antes da abordagem.</x:v>
      </x:c>
      <x:c r="U18" s="29" t="str">
        <x:v>Olá, Sulla. Vi a promoção recente que você publicou. Pensei em uma forma de equilibrar ofertas com resultados, orientação e chamadas para agendamento, para o perfil não depender apenas de promoções. Posso te mostrar?</x:v>
      </x:c>
      <x:c r="V18" s="29" t="str">
        <x:v>https://www.instagram.com/lash_sulladejesus/</x:v>
      </x:c>
      <x:c r="W18" s="29" t="str">
        <x:v>Não contatado</x:v>
      </x:c>
      <x:c r="X18" s="36"/>
      <x:c r="Y18" s="29" t="str">
        <x:v>Validar perfil no Instagram</x:v>
      </x:c>
      <x:c r="Z18" s="36"/>
      <x:c r="AA18" s="38" t="n">
        <x:v>147</x:v>
      </x:c>
      <x:c r="AB18" s="38" t="n">
        <x:f>IF(W18="Fechado",AA18,0)</x:f>
        <x:v>0</x:v>
      </x:c>
      <x:c r="AC18" s="29" t="str"/>
    </x:row>
    <x:row r="19">
      <x:c r="A19" s="34" t="n">
        <x:v>25</x:v>
      </x:c>
      <x:c r="B19" s="29" t="str">
        <x:v>Nacional</x:v>
      </x:c>
      <x:c r="C19" s="29" t="str">
        <x:v>Segunda lista</x:v>
      </x:c>
      <x:c r="D19" s="29" t="str">
        <x:v>@dianapereira.naildesigner</x:v>
      </x:c>
      <x:c r="E19" s="29" t="str">
        <x:v>Diana Pereira Nail Designer</x:v>
      </x:c>
      <x:c r="F19" s="29" t="str">
        <x:v>Nail designer</x:v>
      </x:c>
      <x:c r="G19" s="29" t="str">
        <x:v>Unhas e nail design</x:v>
      </x:c>
      <x:c r="H19" s="29" t="str">
        <x:v>A confirmar</x:v>
      </x:c>
      <x:c r="I19" s="29" t="str">
        <x:v>A confirmar</x:v>
      </x:c>
      <x:c r="J19" s="29" t="str">
        <x:v>A confirmar</x:v>
      </x:c>
      <x:c r="K19" s="34"/>
      <x:c r="L19" s="34" t="str">
        <x:f>IF(ISNUMBER(K19),IF(K19&gt;=9,"A",IF(K19&gt;=7,"B","C")),"N/D")</x:f>
        <x:v>N/D</x:v>
      </x:c>
      <x:c r="M19" s="36" t="n">
        <x:v>46228</x:v>
      </x:c>
      <x:c r="N19" s="29" t="str">
        <x:v>A confirmar</x:v>
      </x:c>
      <x:c r="O19" s="29" t="str">
        <x:v>Sim</x:v>
      </x:c>
      <x:c r="P19" s="29" t="str">
        <x:v>Sim</x:v>
      </x:c>
      <x:c r="Q19" s="29" t="str">
        <x:v>A confirmar</x:v>
      </x:c>
      <x:c r="R19" s="29" t="str">
        <x:v>A confirmar</x:v>
      </x:c>
      <x:c r="S19" s="29" t="str">
        <x:v>A confirmar</x:v>
      </x:c>
      <x:c r="T19" s="29" t="str">
        <x:v>Publicações recentes e baixo engajamento aparente; cidade e WhatsApp precisam ser confirmados.</x:v>
      </x:c>
      <x:c r="U19" s="29" t="str">
        <x:v>Olá, Diana. Vi seus trabalhos recentes de nail design. Os resultados podem render uma sequência forte entre inspiração, cuidados, agenda e manutenção. Posso te mostrar uma forma de organizar esses conteúdos?</x:v>
      </x:c>
      <x:c r="V19" s="29" t="str">
        <x:v>https://www.instagram.com/dianapereira.naildesigner/</x:v>
      </x:c>
      <x:c r="W19" s="29" t="str">
        <x:v>Não contatado</x:v>
      </x:c>
      <x:c r="X19" s="36"/>
      <x:c r="Y19" s="29" t="str">
        <x:v>Validar perfil no Instagram</x:v>
      </x:c>
      <x:c r="Z19" s="36"/>
      <x:c r="AA19" s="38" t="n">
        <x:v>147</x:v>
      </x:c>
      <x:c r="AB19" s="38" t="n">
        <x:f>IF(W19="Fechado",AA19,0)</x:f>
        <x:v>0</x:v>
      </x:c>
      <x:c r="AC19" s="29" t="str"/>
    </x:row>
  </x:sheetData>
  <x:mergeCells>
    <x:mergeCell ref="A1:AC1"/>
    <x:mergeCell ref="A2:AC2"/>
  </x:mergeCells>
  <x:conditionalFormatting sqref="K5:K19">
    <x:cfRule type="colorScale" priority="1">
      <x:colorScale>
        <x:cfvo type="min"/>
        <x:cfvo type="percentile" val="50"/>
        <x:cfvo type="max"/>
        <x:color rgb="FFFCE8E4"/>
        <x:color rgb="FFF4D8A5"/>
        <x:color rgb="FFD8E5D2"/>
      </x:colorScale>
    </x:cfRule>
  </x:conditionalFormatting>
  <x:conditionalFormatting sqref="C5:C19">
    <x:cfRule type="expression" dxfId="16" priority="2">
      <x:formula>C5="Muito alta"</x:formula>
    </x:cfRule>
    <x:cfRule type="expression" dxfId="17" priority="3">
      <x:formula>C5="Alta"</x:formula>
    </x:cfRule>
    <x:cfRule type="expression" dxfId="18" priority="4">
      <x:formula>C5="Segunda lista"</x:formula>
    </x:cfRule>
    <x:cfRule type="expression" dxfId="19" priority="5">
      <x:formula>C5="Não priorizar"</x:formula>
    </x:cfRule>
  </x:conditionalFormatting>
  <x:conditionalFormatting sqref="W5:W19">
    <x:cfRule type="expression" dxfId="20" priority="6">
      <x:formula>W5="Fechado"</x:formula>
    </x:cfRule>
    <x:cfRule type="expression" dxfId="21" priority="7">
      <x:formula>W5="Aguardando pagamento"</x:formula>
    </x:cfRule>
    <x:cfRule type="expression" dxfId="22" priority="8">
      <x:formula>W5="Perdido"</x:formula>
    </x:cfRule>
  </x:conditionalFormatting>
  <x:conditionalFormatting sqref="Z5:Z19">
    <x:cfRule type="expression" dxfId="23" priority="9">
      <x:formula>AND($Z5&lt;TODAY(),$Z5&lt;&gt;"",$W5&lt;&gt;"Fechado",$W5&lt;&gt;"Perdido")</x:formula>
    </x:cfRule>
  </x:conditionalFormatting>
  <x:dataValidations count="2">
    <x:dataValidation type="list" sqref="W5:W200">
      <x:formula1>"Não contatado,Mensagem enviada,Respondeu,Portfólio enviado,Qualificado,Proposta feita,Aguardando pagamento,Fechado,Perdido,Retomar"</x:formula1>
    </x:dataValidation>
    <x:dataValidation type="list" sqref="C5:C200">
      <x:formula1>"Muito alta,Alta,Segunda lista,Não priorizar"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80a89d214d44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2" hidden="0" customWidth="1"/>
    <x:col min="4" max="4" width="24" hidden="0" customWidth="1"/>
    <x:col min="5" max="5" width="24" hidden="0" customWidth="1"/>
    <x:col min="6" max="6" width="16" hidden="0" customWidth="1"/>
    <x:col min="7" max="7" width="24" hidden="0" customWidth="1"/>
    <x:col min="8" max="8" width="34" hidden="0" customWidth="1"/>
  </x:cols>
  <x:sheetData>
    <x:row r="1" ht="36" customHeight="1">
      <x:c r="A1" s="3" t="str">
        <x:v>Critérios de qualificação e uso da planilha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8" t="str">
        <x:v>As informações foram levantadas por indexação pública. Itens visuais e dados marcados como “A confirmar” devem ser validados diretamente no Instagram.</x:v>
      </x:c>
      <x:c r="B2" s="78"/>
      <x:c r="C2" s="78"/>
      <x:c r="D2" s="78"/>
      <x:c r="E2" s="78"/>
      <x:c r="F2" s="78"/>
      <x:c r="G2" s="78"/>
      <x:c r="H2" s="78"/>
    </x:row>
    <x:row r="4">
      <x:c r="A4" s="80" t="str">
        <x:v>Critério</x:v>
      </x:c>
      <x:c r="B4" s="80" t="str">
        <x:v>Pontos</x:v>
      </x:c>
      <x:c r="D4" s="58" t="str">
        <x:v>Antes de abordar</x:v>
      </x:c>
      <x:c r="E4" s="58" t="str">
        <x:v>Verificação</x:v>
      </x:c>
      <x:c r="F4" s="58" t="str">
        <x:v>Situação</x:v>
      </x:c>
      <x:c r="G4" s="58" t="str">
        <x:v>Ação</x:v>
      </x:c>
      <x:c r="H4" s="58" t="str">
        <x:v>Observação</x:v>
      </x:c>
    </x:row>
    <x:row r="5">
      <x:c r="A5" s="62" t="str">
        <x:v>Publicou nos últimos 15 dias</x:v>
      </x:c>
      <x:c r="B5" s="82" t="n">
        <x:v>2</x:v>
      </x:c>
      <x:c r="D5" s="29" t="str">
        <x:v>Último post</x:v>
      </x:c>
      <x:c r="E5" s="29" t="str">
        <x:v>Está dentro de 15 dias?</x:v>
      </x:c>
      <x:c r="F5" s="29" t="str">
        <x:v>Obrigatório</x:v>
      </x:c>
      <x:c r="G5" s="29" t="str">
        <x:v>Confirmar data</x:v>
      </x:c>
      <x:c r="H5" s="29" t="str">
        <x:v>Não abordar perfil abandonado</x:v>
      </x:c>
    </x:row>
    <x:row r="6">
      <x:c r="A6" s="62" t="str">
        <x:v>WhatsApp disponível</x:v>
      </x:c>
      <x:c r="B6" s="82" t="n">
        <x:v>2</x:v>
      </x:c>
      <x:c r="D6" s="29" t="str">
        <x:v>WhatsApp</x:v>
      </x:c>
      <x:c r="E6" s="29" t="str">
        <x:v>O link funciona?</x:v>
      </x:c>
      <x:c r="F6" s="29" t="str">
        <x:v>Obrigatório</x:v>
      </x:c>
      <x:c r="G6" s="29" t="str">
        <x:v>Abrir e testar</x:v>
      </x:c>
      <x:c r="H6" s="29" t="str">
        <x:v>Não copiar número sem necessidade</x:v>
      </x:c>
    </x:row>
    <x:row r="7">
      <x:c r="A7" s="62" t="str">
        <x:v>Dona aparece e administra o perfil</x:v>
      </x:c>
      <x:c r="B7" s="82" t="n">
        <x:v>2</x:v>
      </x:c>
      <x:c r="D7" s="29" t="str">
        <x:v>Gestão</x:v>
      </x:c>
      <x:c r="E7" s="29" t="str">
        <x:v>Há agência/social media marcada?</x:v>
      </x:c>
      <x:c r="F7" s="29" t="str">
        <x:v>Importante</x:v>
      </x:c>
      <x:c r="G7" s="29" t="str">
        <x:v>Verificar bio e artes</x:v>
      </x:c>
      <x:c r="H7" s="29" t="str">
        <x:v>Priorizar decisão direta</x:v>
      </x:c>
    </x:row>
    <x:row r="8">
      <x:c r="A8" s="62" t="str">
        <x:v>Artes visualmente fracas</x:v>
      </x:c>
      <x:c r="B8" s="82" t="n">
        <x:v>2</x:v>
      </x:c>
      <x:c r="D8" s="29" t="str">
        <x:v>Visual</x:v>
      </x:c>
      <x:c r="E8" s="29" t="str">
        <x:v>Há ao menos 2 problemas claros?</x:v>
      </x:c>
      <x:c r="F8" s="29" t="str">
        <x:v>Obrigatório</x:v>
      </x:c>
      <x:c r="G8" s="29" t="str">
        <x:v>Analisar feed</x:v>
      </x:c>
      <x:c r="H8" s="29" t="str">
        <x:v>Não criticar na mensagem</x:v>
      </x:c>
    </x:row>
    <x:row r="9">
      <x:c r="A9" s="62" t="str">
        <x:v>Serviços recorrentes</x:v>
      </x:c>
      <x:c r="B9" s="82" t="n">
        <x:v>2</x:v>
      </x:c>
      <x:c r="D9" s="29" t="str">
        <x:v>Fotos</x:v>
      </x:c>
      <x:c r="E9" s="29" t="str">
        <x:v>As imagens são utilizáveis?</x:v>
      </x:c>
      <x:c r="F9" s="29" t="str">
        <x:v>Importante</x:v>
      </x:c>
      <x:c r="G9" s="29" t="str">
        <x:v>Analisar resultados</x:v>
      </x:c>
      <x:c r="H9" s="29" t="str">
        <x:v>Boas fotos aumentam potencial</x:v>
      </x:c>
    </x:row>
    <x:row r="10">
      <x:c r="A10" s="62" t="str">
        <x:v>Agenda aberta</x:v>
      </x:c>
      <x:c r="B10" s="82" t="n">
        <x:v>1</x:v>
      </x:c>
      <x:c r="D10" s="29" t="str">
        <x:v>Contato</x:v>
      </x:c>
      <x:c r="E10" s="29" t="str">
        <x:v>Existe post específico para citar?</x:v>
      </x:c>
      <x:c r="F10" s="29" t="str">
        <x:v>Obrigatório</x:v>
      </x:c>
      <x:c r="G10" s="29" t="str">
        <x:v>Salvar referência</x:v>
      </x:c>
      <x:c r="H10" s="29" t="str">
        <x:v>Personalizar o primeiro contato</x:v>
      </x:c>
    </x:row>
    <x:row r="11">
      <x:c r="A11" s="62" t="str">
        <x:v>Boas fotografias</x:v>
      </x:c>
      <x:c r="B11" s="82" t="n">
        <x:v>1</x:v>
      </x:c>
    </x:row>
    <x:row r="12">
      <x:c r="A12" s="62" t="str">
        <x:v>Perfil já muito profissional</x:v>
      </x:c>
      <x:c r="B12" s="82" t="n">
        <x:v>-3</x:v>
      </x:c>
    </x:row>
    <x:row r="13">
      <x:c r="A13" s="62" t="str">
        <x:v>Perfil abandonado</x:v>
      </x:c>
      <x:c r="B13" s="82" t="n">
        <x:v>-3</x:v>
      </x:c>
    </x:row>
    <x:row r="16">
      <x:c r="A16" s="80" t="str">
        <x:v>Status</x:v>
      </x:c>
      <x:c r="B16" s="80" t="str">
        <x:v>Quando usar</x:v>
      </x:c>
      <x:c r="C16" s="80" t="str">
        <x:v>Próximo passo</x:v>
      </x:c>
    </x:row>
    <x:row r="17">
      <x:c r="A17" s="29" t="str">
        <x:v>Não contatado</x:v>
      </x:c>
      <x:c r="B17" s="29" t="str">
        <x:v>Lead ainda não abordado</x:v>
      </x:c>
      <x:c r="C17" s="29" t="str">
        <x:v>Validar perfil e enviar mensagem</x:v>
      </x:c>
    </x:row>
    <x:row r="18">
      <x:c r="A18" s="29" t="str">
        <x:v>Mensagem enviada</x:v>
      </x:c>
      <x:c r="B18" s="29" t="str">
        <x:v>Primeiro contato feito</x:v>
      </x:c>
      <x:c r="C18" s="29" t="str">
        <x:v>Aguardar e fazer follow-up</x:v>
      </x:c>
    </x:row>
    <x:row r="19">
      <x:c r="A19" s="29" t="str">
        <x:v>Respondeu</x:v>
      </x:c>
      <x:c r="B19" s="29" t="str">
        <x:v>Lead iniciou conversa</x:v>
      </x:c>
      <x:c r="C19" s="29" t="str">
        <x:v>Qualificar necessidade</x:v>
      </x:c>
    </x:row>
    <x:row r="20">
      <x:c r="A20" s="29" t="str">
        <x:v>Portfólio enviado</x:v>
      </x:c>
      <x:c r="B20" s="29" t="str">
        <x:v>Autorizou receber o material</x:v>
      </x:c>
      <x:c r="C20" s="29" t="str">
        <x:v>Perguntar qual estilo combina</x:v>
      </x:c>
    </x:row>
    <x:row r="21">
      <x:c r="A21" s="29" t="str">
        <x:v>Qualificado</x:v>
      </x:c>
      <x:c r="B21" s="29" t="str">
        <x:v>Problema e objetivo identificados</x:v>
      </x:c>
      <x:c r="C21" s="29" t="str">
        <x:v>Apresentar oferta</x:v>
      </x:c>
    </x:row>
    <x:row r="22">
      <x:c r="A22" s="29" t="str">
        <x:v>Proposta feita</x:v>
      </x:c>
      <x:c r="B22" s="29" t="str">
        <x:v>Preço e escopo apresentados</x:v>
      </x:c>
      <x:c r="C22" s="29" t="str">
        <x:v>Pedir decisão</x:v>
      </x:c>
    </x:row>
    <x:row r="23">
      <x:c r="A23" s="29" t="str">
        <x:v>Aguardando pagamento</x:v>
      </x:c>
      <x:c r="B23" s="29" t="str">
        <x:v>Cliente confirmou verbalmente</x:v>
      </x:c>
      <x:c r="C23" s="29" t="str">
        <x:v>Enviar Pix e cobrar confirmação</x:v>
      </x:c>
    </x:row>
    <x:row r="24">
      <x:c r="A24" s="29" t="str">
        <x:v>Fechado</x:v>
      </x:c>
      <x:c r="B24" s="29" t="str">
        <x:v>Entrada ou valor total recebido</x:v>
      </x:c>
      <x:c r="C24" s="29" t="str">
        <x:v>Executar briefing</x:v>
      </x:c>
    </x:row>
    <x:row r="25">
      <x:c r="A25" s="29" t="str">
        <x:v>Perdido</x:v>
      </x:c>
      <x:c r="B25" s="29" t="str">
        <x:v>Recusou ou não possui aderência</x:v>
      </x:c>
      <x:c r="C25" s="29" t="str">
        <x:v>Registrar motivo</x:v>
      </x:c>
    </x:row>
    <x:row r="26">
      <x:c r="A26" s="29" t="str">
        <x:v>Retomar</x:v>
      </x:c>
      <x:c r="B26" s="29" t="str">
        <x:v>Momento inadequado</x:v>
      </x:c>
      <x:c r="C26" s="29" t="str">
        <x:v>Agendar nova data</x:v>
      </x:c>
    </x:row>
  </x:sheetData>
  <x:mergeCells>
    <x:mergeCell ref="A1:H1"/>
    <x:mergeCell ref="A2:H2"/>
  </x:mergeCells>
  <x:pageMargins left="0.7" right="0.7" top="0.75" bottom="0.75" header="0.3" footer="0.3"/>
</x:worksheet>
</file>